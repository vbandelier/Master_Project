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2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vmbandel/Desktop/Master_Project/matlab/Final code/Data/"/>
    </mc:Choice>
  </mc:AlternateContent>
  <bookViews>
    <workbookView xWindow="0" yWindow="460" windowWidth="28800" windowHeight="16200" activeTab="1"/>
  </bookViews>
  <sheets>
    <sheet name="Book1" sheetId="1" r:id="rId1"/>
    <sheet name="Feuil1" sheetId="2" r:id="rId2"/>
    <sheet name="Feuil2" sheetId="3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2" i="2" l="1"/>
  <c r="B42" i="2"/>
  <c r="C42" i="2"/>
  <c r="D42" i="2"/>
  <c r="E42" i="2"/>
  <c r="F42" i="2"/>
  <c r="G42" i="2"/>
  <c r="H42" i="2"/>
  <c r="I42" i="2"/>
  <c r="J42" i="2"/>
  <c r="K42" i="2"/>
  <c r="L42" i="2"/>
  <c r="A43" i="2"/>
  <c r="B43" i="2"/>
  <c r="C43" i="2"/>
  <c r="D43" i="2"/>
  <c r="E43" i="2"/>
  <c r="F43" i="2"/>
  <c r="G43" i="2"/>
  <c r="H43" i="2"/>
  <c r="I43" i="2"/>
  <c r="J43" i="2"/>
  <c r="K43" i="2"/>
  <c r="L43" i="2"/>
  <c r="Q13" i="2"/>
  <c r="P13" i="2"/>
  <c r="O13" i="2"/>
  <c r="S13" i="2"/>
  <c r="T13" i="2"/>
  <c r="Q14" i="2"/>
  <c r="P14" i="2"/>
  <c r="O14" i="2"/>
  <c r="S14" i="2"/>
  <c r="T14" i="2"/>
  <c r="A13" i="2"/>
  <c r="A28" i="2"/>
  <c r="B13" i="2"/>
  <c r="B28" i="2"/>
  <c r="C13" i="2"/>
  <c r="C28" i="2"/>
  <c r="D13" i="2"/>
  <c r="D28" i="2"/>
  <c r="E13" i="2"/>
  <c r="E28" i="2"/>
  <c r="F13" i="2"/>
  <c r="F28" i="2"/>
  <c r="G13" i="2"/>
  <c r="G28" i="2"/>
  <c r="H13" i="2"/>
  <c r="H28" i="2"/>
  <c r="I13" i="2"/>
  <c r="I28" i="2"/>
  <c r="J13" i="2"/>
  <c r="J28" i="2"/>
  <c r="K13" i="2"/>
  <c r="K28" i="2"/>
  <c r="L13" i="2"/>
  <c r="L28" i="2"/>
  <c r="A14" i="2"/>
  <c r="A29" i="2"/>
  <c r="B14" i="2"/>
  <c r="B29" i="2"/>
  <c r="C14" i="2"/>
  <c r="C29" i="2"/>
  <c r="D14" i="2"/>
  <c r="D29" i="2"/>
  <c r="E14" i="2"/>
  <c r="E29" i="2"/>
  <c r="F14" i="2"/>
  <c r="F29" i="2"/>
  <c r="G14" i="2"/>
  <c r="G29" i="2"/>
  <c r="H14" i="2"/>
  <c r="H29" i="2"/>
  <c r="I14" i="2"/>
  <c r="I29" i="2"/>
  <c r="J14" i="2"/>
  <c r="J29" i="2"/>
  <c r="K14" i="2"/>
  <c r="K29" i="2"/>
  <c r="L14" i="2"/>
  <c r="L29" i="2"/>
  <c r="B3" i="2"/>
  <c r="C3" i="2"/>
  <c r="D3" i="2"/>
  <c r="E3" i="2"/>
  <c r="F3" i="2"/>
  <c r="G3" i="2"/>
  <c r="H3" i="2"/>
  <c r="I3" i="2"/>
  <c r="J3" i="2"/>
  <c r="K3" i="2"/>
  <c r="L3" i="2"/>
  <c r="B4" i="2"/>
  <c r="C4" i="2"/>
  <c r="D4" i="2"/>
  <c r="E4" i="2"/>
  <c r="F4" i="2"/>
  <c r="G4" i="2"/>
  <c r="H4" i="2"/>
  <c r="I4" i="2"/>
  <c r="J4" i="2"/>
  <c r="K4" i="2"/>
  <c r="L4" i="2"/>
  <c r="B5" i="2"/>
  <c r="C5" i="2"/>
  <c r="D5" i="2"/>
  <c r="E5" i="2"/>
  <c r="F5" i="2"/>
  <c r="G5" i="2"/>
  <c r="H5" i="2"/>
  <c r="I5" i="2"/>
  <c r="J5" i="2"/>
  <c r="K5" i="2"/>
  <c r="L5" i="2"/>
  <c r="B6" i="2"/>
  <c r="C6" i="2"/>
  <c r="D6" i="2"/>
  <c r="E6" i="2"/>
  <c r="F6" i="2"/>
  <c r="G6" i="2"/>
  <c r="H6" i="2"/>
  <c r="I6" i="2"/>
  <c r="J6" i="2"/>
  <c r="K6" i="2"/>
  <c r="L6" i="2"/>
  <c r="B7" i="2"/>
  <c r="C7" i="2"/>
  <c r="D7" i="2"/>
  <c r="E7" i="2"/>
  <c r="F7" i="2"/>
  <c r="G7" i="2"/>
  <c r="H7" i="2"/>
  <c r="I7" i="2"/>
  <c r="J7" i="2"/>
  <c r="K7" i="2"/>
  <c r="L7" i="2"/>
  <c r="B8" i="2"/>
  <c r="C8" i="2"/>
  <c r="D8" i="2"/>
  <c r="E8" i="2"/>
  <c r="F8" i="2"/>
  <c r="G8" i="2"/>
  <c r="H8" i="2"/>
  <c r="I8" i="2"/>
  <c r="J8" i="2"/>
  <c r="K8" i="2"/>
  <c r="L8" i="2"/>
  <c r="B9" i="2"/>
  <c r="C9" i="2"/>
  <c r="D9" i="2"/>
  <c r="E9" i="2"/>
  <c r="F9" i="2"/>
  <c r="G9" i="2"/>
  <c r="H9" i="2"/>
  <c r="I9" i="2"/>
  <c r="J9" i="2"/>
  <c r="K9" i="2"/>
  <c r="L9" i="2"/>
  <c r="B10" i="2"/>
  <c r="C10" i="2"/>
  <c r="D10" i="2"/>
  <c r="E10" i="2"/>
  <c r="F10" i="2"/>
  <c r="G10" i="2"/>
  <c r="H10" i="2"/>
  <c r="I10" i="2"/>
  <c r="J10" i="2"/>
  <c r="K10" i="2"/>
  <c r="L10" i="2"/>
  <c r="B11" i="2"/>
  <c r="C11" i="2"/>
  <c r="D11" i="2"/>
  <c r="E11" i="2"/>
  <c r="F11" i="2"/>
  <c r="G11" i="2"/>
  <c r="H11" i="2"/>
  <c r="I11" i="2"/>
  <c r="J11" i="2"/>
  <c r="K11" i="2"/>
  <c r="L11" i="2"/>
  <c r="B12" i="2"/>
  <c r="C12" i="2"/>
  <c r="D12" i="2"/>
  <c r="E12" i="2"/>
  <c r="F12" i="2"/>
  <c r="G12" i="2"/>
  <c r="H12" i="2"/>
  <c r="I12" i="2"/>
  <c r="J12" i="2"/>
  <c r="K12" i="2"/>
  <c r="L12" i="2"/>
  <c r="L2" i="2"/>
  <c r="K2" i="2"/>
  <c r="J2" i="2"/>
  <c r="I2" i="2"/>
  <c r="H2" i="2"/>
  <c r="G2" i="2"/>
  <c r="F2" i="2"/>
  <c r="E2" i="2"/>
  <c r="D2" i="2"/>
  <c r="C2" i="2"/>
  <c r="B2" i="2"/>
  <c r="F113" i="3"/>
  <c r="F114" i="3"/>
  <c r="F115" i="3"/>
  <c r="F116" i="3"/>
  <c r="F117" i="3"/>
  <c r="F118" i="3"/>
  <c r="F119" i="3"/>
  <c r="F120" i="3"/>
  <c r="F121" i="3"/>
  <c r="F122" i="3"/>
  <c r="F112" i="3"/>
  <c r="F102" i="3"/>
  <c r="F103" i="3"/>
  <c r="F104" i="3"/>
  <c r="F105" i="3"/>
  <c r="F106" i="3"/>
  <c r="F107" i="3"/>
  <c r="F108" i="3"/>
  <c r="F109" i="3"/>
  <c r="F110" i="3"/>
  <c r="F111" i="3"/>
  <c r="F101" i="3"/>
  <c r="F91" i="3"/>
  <c r="F92" i="3"/>
  <c r="F93" i="3"/>
  <c r="F94" i="3"/>
  <c r="F95" i="3"/>
  <c r="F96" i="3"/>
  <c r="F97" i="3"/>
  <c r="F98" i="3"/>
  <c r="F99" i="3"/>
  <c r="F100" i="3"/>
  <c r="F90" i="3"/>
  <c r="F80" i="3"/>
  <c r="F81" i="3"/>
  <c r="F82" i="3"/>
  <c r="F83" i="3"/>
  <c r="F84" i="3"/>
  <c r="F85" i="3"/>
  <c r="F86" i="3"/>
  <c r="F87" i="3"/>
  <c r="F88" i="3"/>
  <c r="F89" i="3"/>
  <c r="F79" i="3"/>
  <c r="F69" i="3"/>
  <c r="F70" i="3"/>
  <c r="F71" i="3"/>
  <c r="F72" i="3"/>
  <c r="F73" i="3"/>
  <c r="F74" i="3"/>
  <c r="F75" i="3"/>
  <c r="F76" i="3"/>
  <c r="F77" i="3"/>
  <c r="F78" i="3"/>
  <c r="F68" i="3"/>
  <c r="F58" i="3"/>
  <c r="F59" i="3"/>
  <c r="F60" i="3"/>
  <c r="F61" i="3"/>
  <c r="F62" i="3"/>
  <c r="F63" i="3"/>
  <c r="F64" i="3"/>
  <c r="F65" i="3"/>
  <c r="F66" i="3"/>
  <c r="F67" i="3"/>
  <c r="F57" i="3"/>
  <c r="F47" i="3"/>
  <c r="F48" i="3"/>
  <c r="F49" i="3"/>
  <c r="F50" i="3"/>
  <c r="F51" i="3"/>
  <c r="F52" i="3"/>
  <c r="F53" i="3"/>
  <c r="F54" i="3"/>
  <c r="F55" i="3"/>
  <c r="F56" i="3"/>
  <c r="F46" i="3"/>
  <c r="F36" i="3"/>
  <c r="F37" i="3"/>
  <c r="F38" i="3"/>
  <c r="F39" i="3"/>
  <c r="F40" i="3"/>
  <c r="F41" i="3"/>
  <c r="F42" i="3"/>
  <c r="F43" i="3"/>
  <c r="F44" i="3"/>
  <c r="F45" i="3"/>
  <c r="F35" i="3"/>
  <c r="F25" i="3"/>
  <c r="F26" i="3"/>
  <c r="F27" i="3"/>
  <c r="F28" i="3"/>
  <c r="F29" i="3"/>
  <c r="F30" i="3"/>
  <c r="F31" i="3"/>
  <c r="F32" i="3"/>
  <c r="F33" i="3"/>
  <c r="F34" i="3"/>
  <c r="F24" i="3"/>
  <c r="F14" i="3"/>
  <c r="F15" i="3"/>
  <c r="F16" i="3"/>
  <c r="F17" i="3"/>
  <c r="F18" i="3"/>
  <c r="F19" i="3"/>
  <c r="F20" i="3"/>
  <c r="F21" i="3"/>
  <c r="F22" i="3"/>
  <c r="F23" i="3"/>
  <c r="F13" i="3"/>
  <c r="F3" i="3"/>
  <c r="F4" i="3"/>
  <c r="F5" i="3"/>
  <c r="F6" i="3"/>
  <c r="F7" i="3"/>
  <c r="F8" i="3"/>
  <c r="F9" i="3"/>
  <c r="F10" i="3"/>
  <c r="F11" i="3"/>
  <c r="F12" i="3"/>
  <c r="O3" i="2"/>
  <c r="E113" i="3"/>
  <c r="O4" i="2"/>
  <c r="E114" i="3"/>
  <c r="O5" i="2"/>
  <c r="E115" i="3"/>
  <c r="O6" i="2"/>
  <c r="E116" i="3"/>
  <c r="O7" i="2"/>
  <c r="E117" i="3"/>
  <c r="O8" i="2"/>
  <c r="E118" i="3"/>
  <c r="O9" i="2"/>
  <c r="E119" i="3"/>
  <c r="O10" i="2"/>
  <c r="E120" i="3"/>
  <c r="O11" i="2"/>
  <c r="E121" i="3"/>
  <c r="O12" i="2"/>
  <c r="E122" i="3"/>
  <c r="O2" i="2"/>
  <c r="E112" i="3"/>
  <c r="E111" i="3"/>
  <c r="P3" i="2"/>
  <c r="D113" i="3"/>
  <c r="P4" i="2"/>
  <c r="D114" i="3"/>
  <c r="P5" i="2"/>
  <c r="D115" i="3"/>
  <c r="P6" i="2"/>
  <c r="D116" i="3"/>
  <c r="P7" i="2"/>
  <c r="D117" i="3"/>
  <c r="P8" i="2"/>
  <c r="D118" i="3"/>
  <c r="P9" i="2"/>
  <c r="D119" i="3"/>
  <c r="P10" i="2"/>
  <c r="D120" i="3"/>
  <c r="P11" i="2"/>
  <c r="D121" i="3"/>
  <c r="P12" i="2"/>
  <c r="D122" i="3"/>
  <c r="P2" i="2"/>
  <c r="D112" i="3"/>
  <c r="E102" i="3"/>
  <c r="E103" i="3"/>
  <c r="E104" i="3"/>
  <c r="E105" i="3"/>
  <c r="E106" i="3"/>
  <c r="E107" i="3"/>
  <c r="E108" i="3"/>
  <c r="E109" i="3"/>
  <c r="E110" i="3"/>
  <c r="E101" i="3"/>
  <c r="D102" i="3"/>
  <c r="D103" i="3"/>
  <c r="D104" i="3"/>
  <c r="D105" i="3"/>
  <c r="D106" i="3"/>
  <c r="D107" i="3"/>
  <c r="D108" i="3"/>
  <c r="D109" i="3"/>
  <c r="D110" i="3"/>
  <c r="D111" i="3"/>
  <c r="D101" i="3"/>
  <c r="D91" i="3"/>
  <c r="E91" i="3"/>
  <c r="D92" i="3"/>
  <c r="E92" i="3"/>
  <c r="D93" i="3"/>
  <c r="E93" i="3"/>
  <c r="D94" i="3"/>
  <c r="E94" i="3"/>
  <c r="D95" i="3"/>
  <c r="E95" i="3"/>
  <c r="D96" i="3"/>
  <c r="E96" i="3"/>
  <c r="D97" i="3"/>
  <c r="E97" i="3"/>
  <c r="D98" i="3"/>
  <c r="E98" i="3"/>
  <c r="D99" i="3"/>
  <c r="E99" i="3"/>
  <c r="D100" i="3"/>
  <c r="E100" i="3"/>
  <c r="E90" i="3"/>
  <c r="D90" i="3"/>
  <c r="D80" i="3"/>
  <c r="E80" i="3"/>
  <c r="D81" i="3"/>
  <c r="E81" i="3"/>
  <c r="D82" i="3"/>
  <c r="E82" i="3"/>
  <c r="D83" i="3"/>
  <c r="E83" i="3"/>
  <c r="D84" i="3"/>
  <c r="E84" i="3"/>
  <c r="D85" i="3"/>
  <c r="E85" i="3"/>
  <c r="D86" i="3"/>
  <c r="E86" i="3"/>
  <c r="D87" i="3"/>
  <c r="E87" i="3"/>
  <c r="D88" i="3"/>
  <c r="E88" i="3"/>
  <c r="D89" i="3"/>
  <c r="E89" i="3"/>
  <c r="E79" i="3"/>
  <c r="D79" i="3"/>
  <c r="D69" i="3"/>
  <c r="E69" i="3"/>
  <c r="D70" i="3"/>
  <c r="E70" i="3"/>
  <c r="D71" i="3"/>
  <c r="E71" i="3"/>
  <c r="D72" i="3"/>
  <c r="E72" i="3"/>
  <c r="D73" i="3"/>
  <c r="E73" i="3"/>
  <c r="D74" i="3"/>
  <c r="E74" i="3"/>
  <c r="D75" i="3"/>
  <c r="E75" i="3"/>
  <c r="D76" i="3"/>
  <c r="E76" i="3"/>
  <c r="D77" i="3"/>
  <c r="E77" i="3"/>
  <c r="D78" i="3"/>
  <c r="E78" i="3"/>
  <c r="E68" i="3"/>
  <c r="D68" i="3"/>
  <c r="D58" i="3"/>
  <c r="E58" i="3"/>
  <c r="D59" i="3"/>
  <c r="E59" i="3"/>
  <c r="D60" i="3"/>
  <c r="E60" i="3"/>
  <c r="D61" i="3"/>
  <c r="E61" i="3"/>
  <c r="D62" i="3"/>
  <c r="E62" i="3"/>
  <c r="D63" i="3"/>
  <c r="E63" i="3"/>
  <c r="D64" i="3"/>
  <c r="E64" i="3"/>
  <c r="D65" i="3"/>
  <c r="E65" i="3"/>
  <c r="D66" i="3"/>
  <c r="E66" i="3"/>
  <c r="D67" i="3"/>
  <c r="E67" i="3"/>
  <c r="E57" i="3"/>
  <c r="D57" i="3"/>
  <c r="D47" i="3"/>
  <c r="E47" i="3"/>
  <c r="D48" i="3"/>
  <c r="E48" i="3"/>
  <c r="D49" i="3"/>
  <c r="E49" i="3"/>
  <c r="D50" i="3"/>
  <c r="E50" i="3"/>
  <c r="D51" i="3"/>
  <c r="E51" i="3"/>
  <c r="D52" i="3"/>
  <c r="E52" i="3"/>
  <c r="D53" i="3"/>
  <c r="E53" i="3"/>
  <c r="D54" i="3"/>
  <c r="E54" i="3"/>
  <c r="D55" i="3"/>
  <c r="E55" i="3"/>
  <c r="D56" i="3"/>
  <c r="E56" i="3"/>
  <c r="E46" i="3"/>
  <c r="D46" i="3"/>
  <c r="D36" i="3"/>
  <c r="E36" i="3"/>
  <c r="D37" i="3"/>
  <c r="E37" i="3"/>
  <c r="D38" i="3"/>
  <c r="E38" i="3"/>
  <c r="D39" i="3"/>
  <c r="E39" i="3"/>
  <c r="D40" i="3"/>
  <c r="E40" i="3"/>
  <c r="D41" i="3"/>
  <c r="E41" i="3"/>
  <c r="D42" i="3"/>
  <c r="E42" i="3"/>
  <c r="D43" i="3"/>
  <c r="E43" i="3"/>
  <c r="D44" i="3"/>
  <c r="E44" i="3"/>
  <c r="D45" i="3"/>
  <c r="E45" i="3"/>
  <c r="E35" i="3"/>
  <c r="D35" i="3"/>
  <c r="D25" i="3"/>
  <c r="E25" i="3"/>
  <c r="D26" i="3"/>
  <c r="E26" i="3"/>
  <c r="D27" i="3"/>
  <c r="E27" i="3"/>
  <c r="D28" i="3"/>
  <c r="E28" i="3"/>
  <c r="D29" i="3"/>
  <c r="E29" i="3"/>
  <c r="D30" i="3"/>
  <c r="E30" i="3"/>
  <c r="D31" i="3"/>
  <c r="E31" i="3"/>
  <c r="D32" i="3"/>
  <c r="E32" i="3"/>
  <c r="D33" i="3"/>
  <c r="E33" i="3"/>
  <c r="D34" i="3"/>
  <c r="E34" i="3"/>
  <c r="E24" i="3"/>
  <c r="D24" i="3"/>
  <c r="E14" i="3"/>
  <c r="E15" i="3"/>
  <c r="E16" i="3"/>
  <c r="E17" i="3"/>
  <c r="E18" i="3"/>
  <c r="E19" i="3"/>
  <c r="E20" i="3"/>
  <c r="E21" i="3"/>
  <c r="E22" i="3"/>
  <c r="E23" i="3"/>
  <c r="E13" i="3"/>
  <c r="E3" i="3"/>
  <c r="E4" i="3"/>
  <c r="E5" i="3"/>
  <c r="E6" i="3"/>
  <c r="E7" i="3"/>
  <c r="E8" i="3"/>
  <c r="E9" i="3"/>
  <c r="E10" i="3"/>
  <c r="E11" i="3"/>
  <c r="E12" i="3"/>
  <c r="D14" i="3"/>
  <c r="D15" i="3"/>
  <c r="D16" i="3"/>
  <c r="D17" i="3"/>
  <c r="D18" i="3"/>
  <c r="D19" i="3"/>
  <c r="D20" i="3"/>
  <c r="D21" i="3"/>
  <c r="D22" i="3"/>
  <c r="D23" i="3"/>
  <c r="D13" i="3"/>
  <c r="D3" i="3"/>
  <c r="D4" i="3"/>
  <c r="D5" i="3"/>
  <c r="D6" i="3"/>
  <c r="D7" i="3"/>
  <c r="D8" i="3"/>
  <c r="D9" i="3"/>
  <c r="D10" i="3"/>
  <c r="D11" i="3"/>
  <c r="D12" i="3"/>
  <c r="T3" i="2"/>
  <c r="L18" i="2"/>
  <c r="B113" i="3"/>
  <c r="T4" i="2"/>
  <c r="L19" i="2"/>
  <c r="B114" i="3"/>
  <c r="T5" i="2"/>
  <c r="L20" i="2"/>
  <c r="B115" i="3"/>
  <c r="T6" i="2"/>
  <c r="L21" i="2"/>
  <c r="B116" i="3"/>
  <c r="T7" i="2"/>
  <c r="L22" i="2"/>
  <c r="B117" i="3"/>
  <c r="T8" i="2"/>
  <c r="L23" i="2"/>
  <c r="B118" i="3"/>
  <c r="T9" i="2"/>
  <c r="L24" i="2"/>
  <c r="B119" i="3"/>
  <c r="T10" i="2"/>
  <c r="L25" i="2"/>
  <c r="B120" i="3"/>
  <c r="T11" i="2"/>
  <c r="L26" i="2"/>
  <c r="B121" i="3"/>
  <c r="T12" i="2"/>
  <c r="L27" i="2"/>
  <c r="B122" i="3"/>
  <c r="T2" i="2"/>
  <c r="L17" i="2"/>
  <c r="B112" i="3"/>
  <c r="K18" i="2"/>
  <c r="B102" i="3"/>
  <c r="K19" i="2"/>
  <c r="B103" i="3"/>
  <c r="K20" i="2"/>
  <c r="B104" i="3"/>
  <c r="K21" i="2"/>
  <c r="B105" i="3"/>
  <c r="K22" i="2"/>
  <c r="B106" i="3"/>
  <c r="K23" i="2"/>
  <c r="B107" i="3"/>
  <c r="K24" i="2"/>
  <c r="B108" i="3"/>
  <c r="K25" i="2"/>
  <c r="B109" i="3"/>
  <c r="K26" i="2"/>
  <c r="B110" i="3"/>
  <c r="K27" i="2"/>
  <c r="B111" i="3"/>
  <c r="K17" i="2"/>
  <c r="B101" i="3"/>
  <c r="J18" i="2"/>
  <c r="B91" i="3"/>
  <c r="J19" i="2"/>
  <c r="B92" i="3"/>
  <c r="J20" i="2"/>
  <c r="B93" i="3"/>
  <c r="J21" i="2"/>
  <c r="B94" i="3"/>
  <c r="J22" i="2"/>
  <c r="B95" i="3"/>
  <c r="J23" i="2"/>
  <c r="B96" i="3"/>
  <c r="J24" i="2"/>
  <c r="B97" i="3"/>
  <c r="J25" i="2"/>
  <c r="B98" i="3"/>
  <c r="J26" i="2"/>
  <c r="B99" i="3"/>
  <c r="J27" i="2"/>
  <c r="B100" i="3"/>
  <c r="J17" i="2"/>
  <c r="B90" i="3"/>
  <c r="I18" i="2"/>
  <c r="B80" i="3"/>
  <c r="I19" i="2"/>
  <c r="B81" i="3"/>
  <c r="I20" i="2"/>
  <c r="B82" i="3"/>
  <c r="I21" i="2"/>
  <c r="B83" i="3"/>
  <c r="I22" i="2"/>
  <c r="B84" i="3"/>
  <c r="I23" i="2"/>
  <c r="B85" i="3"/>
  <c r="I24" i="2"/>
  <c r="B86" i="3"/>
  <c r="I25" i="2"/>
  <c r="B87" i="3"/>
  <c r="I26" i="2"/>
  <c r="B88" i="3"/>
  <c r="I27" i="2"/>
  <c r="B89" i="3"/>
  <c r="I17" i="2"/>
  <c r="B79" i="3"/>
  <c r="H18" i="2"/>
  <c r="B69" i="3"/>
  <c r="H19" i="2"/>
  <c r="B70" i="3"/>
  <c r="H20" i="2"/>
  <c r="B71" i="3"/>
  <c r="H21" i="2"/>
  <c r="B72" i="3"/>
  <c r="H22" i="2"/>
  <c r="B73" i="3"/>
  <c r="H23" i="2"/>
  <c r="B74" i="3"/>
  <c r="H24" i="2"/>
  <c r="B75" i="3"/>
  <c r="H25" i="2"/>
  <c r="B76" i="3"/>
  <c r="H26" i="2"/>
  <c r="B77" i="3"/>
  <c r="H27" i="2"/>
  <c r="B78" i="3"/>
  <c r="H17" i="2"/>
  <c r="B68" i="3"/>
  <c r="G18" i="2"/>
  <c r="B58" i="3"/>
  <c r="G19" i="2"/>
  <c r="B59" i="3"/>
  <c r="G20" i="2"/>
  <c r="B60" i="3"/>
  <c r="G21" i="2"/>
  <c r="B61" i="3"/>
  <c r="G22" i="2"/>
  <c r="B62" i="3"/>
  <c r="G23" i="2"/>
  <c r="B63" i="3"/>
  <c r="G24" i="2"/>
  <c r="B64" i="3"/>
  <c r="G25" i="2"/>
  <c r="B65" i="3"/>
  <c r="G26" i="2"/>
  <c r="B66" i="3"/>
  <c r="G27" i="2"/>
  <c r="B67" i="3"/>
  <c r="G17" i="2"/>
  <c r="B57" i="3"/>
  <c r="F18" i="2"/>
  <c r="B47" i="3"/>
  <c r="F19" i="2"/>
  <c r="B48" i="3"/>
  <c r="F20" i="2"/>
  <c r="B49" i="3"/>
  <c r="F21" i="2"/>
  <c r="B50" i="3"/>
  <c r="F22" i="2"/>
  <c r="B51" i="3"/>
  <c r="F23" i="2"/>
  <c r="B52" i="3"/>
  <c r="F24" i="2"/>
  <c r="B53" i="3"/>
  <c r="F25" i="2"/>
  <c r="B54" i="3"/>
  <c r="F26" i="2"/>
  <c r="B55" i="3"/>
  <c r="F27" i="2"/>
  <c r="B56" i="3"/>
  <c r="F17" i="2"/>
  <c r="B46" i="3"/>
  <c r="E18" i="2"/>
  <c r="B36" i="3"/>
  <c r="E19" i="2"/>
  <c r="B37" i="3"/>
  <c r="E20" i="2"/>
  <c r="B38" i="3"/>
  <c r="E21" i="2"/>
  <c r="B39" i="3"/>
  <c r="E22" i="2"/>
  <c r="B40" i="3"/>
  <c r="E23" i="2"/>
  <c r="B41" i="3"/>
  <c r="E24" i="2"/>
  <c r="B42" i="3"/>
  <c r="E25" i="2"/>
  <c r="B43" i="3"/>
  <c r="E26" i="2"/>
  <c r="B44" i="3"/>
  <c r="E27" i="2"/>
  <c r="B45" i="3"/>
  <c r="E17" i="2"/>
  <c r="B35" i="3"/>
  <c r="D18" i="2"/>
  <c r="B25" i="3"/>
  <c r="D19" i="2"/>
  <c r="B26" i="3"/>
  <c r="D20" i="2"/>
  <c r="B27" i="3"/>
  <c r="D21" i="2"/>
  <c r="B28" i="3"/>
  <c r="D22" i="2"/>
  <c r="B29" i="3"/>
  <c r="D23" i="2"/>
  <c r="B30" i="3"/>
  <c r="D24" i="2"/>
  <c r="B31" i="3"/>
  <c r="D25" i="2"/>
  <c r="B32" i="3"/>
  <c r="D26" i="2"/>
  <c r="B33" i="3"/>
  <c r="D27" i="2"/>
  <c r="B34" i="3"/>
  <c r="D17" i="2"/>
  <c r="B24" i="3"/>
  <c r="C18" i="2"/>
  <c r="B14" i="3"/>
  <c r="C19" i="2"/>
  <c r="B15" i="3"/>
  <c r="C20" i="2"/>
  <c r="B16" i="3"/>
  <c r="C21" i="2"/>
  <c r="B17" i="3"/>
  <c r="C22" i="2"/>
  <c r="B18" i="3"/>
  <c r="C23" i="2"/>
  <c r="B19" i="3"/>
  <c r="C24" i="2"/>
  <c r="B20" i="3"/>
  <c r="C25" i="2"/>
  <c r="B21" i="3"/>
  <c r="C26" i="2"/>
  <c r="B22" i="3"/>
  <c r="C27" i="2"/>
  <c r="B23" i="3"/>
  <c r="C17" i="2"/>
  <c r="B13" i="3"/>
  <c r="B18" i="2"/>
  <c r="B3" i="3"/>
  <c r="B19" i="2"/>
  <c r="B4" i="3"/>
  <c r="B20" i="2"/>
  <c r="B5" i="3"/>
  <c r="B21" i="2"/>
  <c r="B6" i="3"/>
  <c r="B22" i="2"/>
  <c r="B7" i="3"/>
  <c r="B23" i="2"/>
  <c r="B8" i="3"/>
  <c r="B24" i="2"/>
  <c r="B9" i="3"/>
  <c r="B25" i="2"/>
  <c r="B10" i="3"/>
  <c r="B26" i="2"/>
  <c r="B11" i="3"/>
  <c r="B27" i="2"/>
  <c r="B12" i="3"/>
  <c r="C122" i="3"/>
  <c r="C113" i="3"/>
  <c r="C114" i="3"/>
  <c r="C115" i="3"/>
  <c r="C116" i="3"/>
  <c r="C117" i="3"/>
  <c r="C118" i="3"/>
  <c r="C119" i="3"/>
  <c r="C120" i="3"/>
  <c r="C121" i="3"/>
  <c r="C112" i="3"/>
  <c r="L32" i="2"/>
  <c r="A113" i="3"/>
  <c r="L33" i="2"/>
  <c r="A114" i="3"/>
  <c r="L34" i="2"/>
  <c r="A115" i="3"/>
  <c r="L35" i="2"/>
  <c r="A116" i="3"/>
  <c r="L36" i="2"/>
  <c r="A117" i="3"/>
  <c r="L37" i="2"/>
  <c r="A118" i="3"/>
  <c r="L38" i="2"/>
  <c r="A119" i="3"/>
  <c r="L39" i="2"/>
  <c r="A120" i="3"/>
  <c r="L40" i="2"/>
  <c r="A121" i="3"/>
  <c r="L41" i="2"/>
  <c r="A122" i="3"/>
  <c r="L31" i="2"/>
  <c r="A112" i="3"/>
  <c r="C102" i="3"/>
  <c r="C103" i="3"/>
  <c r="C104" i="3"/>
  <c r="C105" i="3"/>
  <c r="C106" i="3"/>
  <c r="C107" i="3"/>
  <c r="C108" i="3"/>
  <c r="C109" i="3"/>
  <c r="C110" i="3"/>
  <c r="C111" i="3"/>
  <c r="C101" i="3"/>
  <c r="K32" i="2"/>
  <c r="A102" i="3"/>
  <c r="K33" i="2"/>
  <c r="A103" i="3"/>
  <c r="K34" i="2"/>
  <c r="A104" i="3"/>
  <c r="K35" i="2"/>
  <c r="A105" i="3"/>
  <c r="K36" i="2"/>
  <c r="A106" i="3"/>
  <c r="K37" i="2"/>
  <c r="A107" i="3"/>
  <c r="K38" i="2"/>
  <c r="A108" i="3"/>
  <c r="K39" i="2"/>
  <c r="A109" i="3"/>
  <c r="K40" i="2"/>
  <c r="A110" i="3"/>
  <c r="K41" i="2"/>
  <c r="A111" i="3"/>
  <c r="K31" i="2"/>
  <c r="A101" i="3"/>
  <c r="J32" i="2"/>
  <c r="A91" i="3"/>
  <c r="J33" i="2"/>
  <c r="A92" i="3"/>
  <c r="J34" i="2"/>
  <c r="A93" i="3"/>
  <c r="J35" i="2"/>
  <c r="A94" i="3"/>
  <c r="J36" i="2"/>
  <c r="A95" i="3"/>
  <c r="J37" i="2"/>
  <c r="A96" i="3"/>
  <c r="J38" i="2"/>
  <c r="A97" i="3"/>
  <c r="J39" i="2"/>
  <c r="A98" i="3"/>
  <c r="J40" i="2"/>
  <c r="A99" i="3"/>
  <c r="J41" i="2"/>
  <c r="A100" i="3"/>
  <c r="J31" i="2"/>
  <c r="A90" i="3"/>
  <c r="I32" i="2"/>
  <c r="A80" i="3"/>
  <c r="I33" i="2"/>
  <c r="A81" i="3"/>
  <c r="I34" i="2"/>
  <c r="A82" i="3"/>
  <c r="I35" i="2"/>
  <c r="A83" i="3"/>
  <c r="I36" i="2"/>
  <c r="A84" i="3"/>
  <c r="I37" i="2"/>
  <c r="A85" i="3"/>
  <c r="I38" i="2"/>
  <c r="A86" i="3"/>
  <c r="I39" i="2"/>
  <c r="A87" i="3"/>
  <c r="I40" i="2"/>
  <c r="A88" i="3"/>
  <c r="I41" i="2"/>
  <c r="A89" i="3"/>
  <c r="I31" i="2"/>
  <c r="A79" i="3"/>
  <c r="H32" i="2"/>
  <c r="A69" i="3"/>
  <c r="H33" i="2"/>
  <c r="A70" i="3"/>
  <c r="H34" i="2"/>
  <c r="A71" i="3"/>
  <c r="H35" i="2"/>
  <c r="A72" i="3"/>
  <c r="H36" i="2"/>
  <c r="A73" i="3"/>
  <c r="H37" i="2"/>
  <c r="A74" i="3"/>
  <c r="H38" i="2"/>
  <c r="A75" i="3"/>
  <c r="H39" i="2"/>
  <c r="A76" i="3"/>
  <c r="H40" i="2"/>
  <c r="A77" i="3"/>
  <c r="H41" i="2"/>
  <c r="A78" i="3"/>
  <c r="H31" i="2"/>
  <c r="A68" i="3"/>
  <c r="G32" i="2"/>
  <c r="A58" i="3"/>
  <c r="G33" i="2"/>
  <c r="A59" i="3"/>
  <c r="G34" i="2"/>
  <c r="A60" i="3"/>
  <c r="G35" i="2"/>
  <c r="A61" i="3"/>
  <c r="G36" i="2"/>
  <c r="A62" i="3"/>
  <c r="G37" i="2"/>
  <c r="A63" i="3"/>
  <c r="G38" i="2"/>
  <c r="A64" i="3"/>
  <c r="G39" i="2"/>
  <c r="A65" i="3"/>
  <c r="G40" i="2"/>
  <c r="A66" i="3"/>
  <c r="G41" i="2"/>
  <c r="A67" i="3"/>
  <c r="G31" i="2"/>
  <c r="A57" i="3"/>
  <c r="F32" i="2"/>
  <c r="A47" i="3"/>
  <c r="F33" i="2"/>
  <c r="A48" i="3"/>
  <c r="F34" i="2"/>
  <c r="A49" i="3"/>
  <c r="F35" i="2"/>
  <c r="A50" i="3"/>
  <c r="F36" i="2"/>
  <c r="A51" i="3"/>
  <c r="F37" i="2"/>
  <c r="A52" i="3"/>
  <c r="F38" i="2"/>
  <c r="A53" i="3"/>
  <c r="F39" i="2"/>
  <c r="A54" i="3"/>
  <c r="F40" i="2"/>
  <c r="A55" i="3"/>
  <c r="F41" i="2"/>
  <c r="A56" i="3"/>
  <c r="F31" i="2"/>
  <c r="A46" i="3"/>
  <c r="E32" i="2"/>
  <c r="A36" i="3"/>
  <c r="E33" i="2"/>
  <c r="A37" i="3"/>
  <c r="E34" i="2"/>
  <c r="A38" i="3"/>
  <c r="E35" i="2"/>
  <c r="A39" i="3"/>
  <c r="E36" i="2"/>
  <c r="A40" i="3"/>
  <c r="E37" i="2"/>
  <c r="A41" i="3"/>
  <c r="E38" i="2"/>
  <c r="A42" i="3"/>
  <c r="E39" i="2"/>
  <c r="A43" i="3"/>
  <c r="E40" i="2"/>
  <c r="A44" i="3"/>
  <c r="E41" i="2"/>
  <c r="A45" i="3"/>
  <c r="E31" i="2"/>
  <c r="A35" i="3"/>
  <c r="D32" i="2"/>
  <c r="A25" i="3"/>
  <c r="D33" i="2"/>
  <c r="A26" i="3"/>
  <c r="D34" i="2"/>
  <c r="A27" i="3"/>
  <c r="D35" i="2"/>
  <c r="A28" i="3"/>
  <c r="D36" i="2"/>
  <c r="A29" i="3"/>
  <c r="D37" i="2"/>
  <c r="A30" i="3"/>
  <c r="D38" i="2"/>
  <c r="A31" i="3"/>
  <c r="D39" i="2"/>
  <c r="A32" i="3"/>
  <c r="D40" i="2"/>
  <c r="A33" i="3"/>
  <c r="D41" i="2"/>
  <c r="A34" i="3"/>
  <c r="D31" i="2"/>
  <c r="A24" i="3"/>
  <c r="C32" i="2"/>
  <c r="A14" i="3"/>
  <c r="C33" i="2"/>
  <c r="A15" i="3"/>
  <c r="C34" i="2"/>
  <c r="A16" i="3"/>
  <c r="C35" i="2"/>
  <c r="A17" i="3"/>
  <c r="C36" i="2"/>
  <c r="A18" i="3"/>
  <c r="C37" i="2"/>
  <c r="A19" i="3"/>
  <c r="C38" i="2"/>
  <c r="A20" i="3"/>
  <c r="C39" i="2"/>
  <c r="A21" i="3"/>
  <c r="C40" i="2"/>
  <c r="A22" i="3"/>
  <c r="C41" i="2"/>
  <c r="A23" i="3"/>
  <c r="C31" i="2"/>
  <c r="A13" i="3"/>
  <c r="B32" i="2"/>
  <c r="A3" i="3"/>
  <c r="B33" i="2"/>
  <c r="A4" i="3"/>
  <c r="B34" i="2"/>
  <c r="A5" i="3"/>
  <c r="B35" i="2"/>
  <c r="A6" i="3"/>
  <c r="B36" i="2"/>
  <c r="A7" i="3"/>
  <c r="B37" i="2"/>
  <c r="A8" i="3"/>
  <c r="B38" i="2"/>
  <c r="A9" i="3"/>
  <c r="B39" i="2"/>
  <c r="A10" i="3"/>
  <c r="B40" i="2"/>
  <c r="A11" i="3"/>
  <c r="B41" i="2"/>
  <c r="A12" i="3"/>
  <c r="C91" i="3"/>
  <c r="C92" i="3"/>
  <c r="C93" i="3"/>
  <c r="C94" i="3"/>
  <c r="C95" i="3"/>
  <c r="C96" i="3"/>
  <c r="C97" i="3"/>
  <c r="C98" i="3"/>
  <c r="C99" i="3"/>
  <c r="C100" i="3"/>
  <c r="C90" i="3"/>
  <c r="C80" i="3"/>
  <c r="C81" i="3"/>
  <c r="C82" i="3"/>
  <c r="C83" i="3"/>
  <c r="C84" i="3"/>
  <c r="C85" i="3"/>
  <c r="C86" i="3"/>
  <c r="C87" i="3"/>
  <c r="C88" i="3"/>
  <c r="C89" i="3"/>
  <c r="C79" i="3"/>
  <c r="C69" i="3"/>
  <c r="C70" i="3"/>
  <c r="C71" i="3"/>
  <c r="C72" i="3"/>
  <c r="C73" i="3"/>
  <c r="C74" i="3"/>
  <c r="C75" i="3"/>
  <c r="C76" i="3"/>
  <c r="C77" i="3"/>
  <c r="C78" i="3"/>
  <c r="C68" i="3"/>
  <c r="C58" i="3"/>
  <c r="C59" i="3"/>
  <c r="C60" i="3"/>
  <c r="C61" i="3"/>
  <c r="C62" i="3"/>
  <c r="C63" i="3"/>
  <c r="C64" i="3"/>
  <c r="C65" i="3"/>
  <c r="C66" i="3"/>
  <c r="C67" i="3"/>
  <c r="C57" i="3"/>
  <c r="C47" i="3"/>
  <c r="C48" i="3"/>
  <c r="C49" i="3"/>
  <c r="C50" i="3"/>
  <c r="C51" i="3"/>
  <c r="C52" i="3"/>
  <c r="C53" i="3"/>
  <c r="C54" i="3"/>
  <c r="C55" i="3"/>
  <c r="C56" i="3"/>
  <c r="C46" i="3"/>
  <c r="C36" i="3"/>
  <c r="C37" i="3"/>
  <c r="C38" i="3"/>
  <c r="C39" i="3"/>
  <c r="C40" i="3"/>
  <c r="C41" i="3"/>
  <c r="C42" i="3"/>
  <c r="C43" i="3"/>
  <c r="C44" i="3"/>
  <c r="C45" i="3"/>
  <c r="C35" i="3"/>
  <c r="B17" i="2"/>
  <c r="B31" i="2"/>
  <c r="A2" i="3"/>
  <c r="C25" i="3"/>
  <c r="C26" i="3"/>
  <c r="C27" i="3"/>
  <c r="C28" i="3"/>
  <c r="C29" i="3"/>
  <c r="C30" i="3"/>
  <c r="C31" i="3"/>
  <c r="C32" i="3"/>
  <c r="C33" i="3"/>
  <c r="C34" i="3"/>
  <c r="C24" i="3"/>
  <c r="C14" i="3"/>
  <c r="C15" i="3"/>
  <c r="C16" i="3"/>
  <c r="C17" i="3"/>
  <c r="C18" i="3"/>
  <c r="C19" i="3"/>
  <c r="C20" i="3"/>
  <c r="C21" i="3"/>
  <c r="C22" i="3"/>
  <c r="C23" i="3"/>
  <c r="C13" i="3"/>
  <c r="C3" i="3"/>
  <c r="C4" i="3"/>
  <c r="C5" i="3"/>
  <c r="C6" i="3"/>
  <c r="C7" i="3"/>
  <c r="C8" i="3"/>
  <c r="C9" i="3"/>
  <c r="C10" i="3"/>
  <c r="C11" i="3"/>
  <c r="C12" i="3"/>
  <c r="C2" i="3"/>
  <c r="A3" i="2"/>
  <c r="A18" i="2"/>
  <c r="A32" i="2"/>
  <c r="A46" i="2"/>
  <c r="B46" i="2"/>
  <c r="C46" i="2"/>
  <c r="D46" i="2"/>
  <c r="E46" i="2"/>
  <c r="F46" i="2"/>
  <c r="G46" i="2"/>
  <c r="H46" i="2"/>
  <c r="I46" i="2"/>
  <c r="J46" i="2"/>
  <c r="K46" i="2"/>
  <c r="L46" i="2"/>
  <c r="A4" i="2"/>
  <c r="A19" i="2"/>
  <c r="A33" i="2"/>
  <c r="A47" i="2"/>
  <c r="B47" i="2"/>
  <c r="C47" i="2"/>
  <c r="D47" i="2"/>
  <c r="E47" i="2"/>
  <c r="F47" i="2"/>
  <c r="G47" i="2"/>
  <c r="H47" i="2"/>
  <c r="I47" i="2"/>
  <c r="J47" i="2"/>
  <c r="K47" i="2"/>
  <c r="L47" i="2"/>
  <c r="A5" i="2"/>
  <c r="A20" i="2"/>
  <c r="A34" i="2"/>
  <c r="A48" i="2"/>
  <c r="B48" i="2"/>
  <c r="C48" i="2"/>
  <c r="D48" i="2"/>
  <c r="E48" i="2"/>
  <c r="F48" i="2"/>
  <c r="G48" i="2"/>
  <c r="H48" i="2"/>
  <c r="I48" i="2"/>
  <c r="J48" i="2"/>
  <c r="K48" i="2"/>
  <c r="L48" i="2"/>
  <c r="A6" i="2"/>
  <c r="A21" i="2"/>
  <c r="A35" i="2"/>
  <c r="A49" i="2"/>
  <c r="B49" i="2"/>
  <c r="C49" i="2"/>
  <c r="D49" i="2"/>
  <c r="E49" i="2"/>
  <c r="F49" i="2"/>
  <c r="G49" i="2"/>
  <c r="H49" i="2"/>
  <c r="I49" i="2"/>
  <c r="J49" i="2"/>
  <c r="K49" i="2"/>
  <c r="L49" i="2"/>
  <c r="A7" i="2"/>
  <c r="A22" i="2"/>
  <c r="A36" i="2"/>
  <c r="A50" i="2"/>
  <c r="B50" i="2"/>
  <c r="C50" i="2"/>
  <c r="D50" i="2"/>
  <c r="E50" i="2"/>
  <c r="F50" i="2"/>
  <c r="G50" i="2"/>
  <c r="H50" i="2"/>
  <c r="I50" i="2"/>
  <c r="J50" i="2"/>
  <c r="K50" i="2"/>
  <c r="L50" i="2"/>
  <c r="A8" i="2"/>
  <c r="A23" i="2"/>
  <c r="A37" i="2"/>
  <c r="A51" i="2"/>
  <c r="B51" i="2"/>
  <c r="C51" i="2"/>
  <c r="D51" i="2"/>
  <c r="E51" i="2"/>
  <c r="F51" i="2"/>
  <c r="G51" i="2"/>
  <c r="H51" i="2"/>
  <c r="I51" i="2"/>
  <c r="J51" i="2"/>
  <c r="K51" i="2"/>
  <c r="L51" i="2"/>
  <c r="A9" i="2"/>
  <c r="A24" i="2"/>
  <c r="A38" i="2"/>
  <c r="A52" i="2"/>
  <c r="B52" i="2"/>
  <c r="C52" i="2"/>
  <c r="D52" i="2"/>
  <c r="E52" i="2"/>
  <c r="F52" i="2"/>
  <c r="G52" i="2"/>
  <c r="H52" i="2"/>
  <c r="I52" i="2"/>
  <c r="J52" i="2"/>
  <c r="K52" i="2"/>
  <c r="L52" i="2"/>
  <c r="A10" i="2"/>
  <c r="A25" i="2"/>
  <c r="A39" i="2"/>
  <c r="A53" i="2"/>
  <c r="B53" i="2"/>
  <c r="C53" i="2"/>
  <c r="D53" i="2"/>
  <c r="E53" i="2"/>
  <c r="F53" i="2"/>
  <c r="G53" i="2"/>
  <c r="H53" i="2"/>
  <c r="I53" i="2"/>
  <c r="J53" i="2"/>
  <c r="K53" i="2"/>
  <c r="L53" i="2"/>
  <c r="A11" i="2"/>
  <c r="A26" i="2"/>
  <c r="A40" i="2"/>
  <c r="A54" i="2"/>
  <c r="B54" i="2"/>
  <c r="C54" i="2"/>
  <c r="D54" i="2"/>
  <c r="E54" i="2"/>
  <c r="F54" i="2"/>
  <c r="G54" i="2"/>
  <c r="H54" i="2"/>
  <c r="I54" i="2"/>
  <c r="J54" i="2"/>
  <c r="K54" i="2"/>
  <c r="L54" i="2"/>
  <c r="A12" i="2"/>
  <c r="A27" i="2"/>
  <c r="A41" i="2"/>
  <c r="A55" i="2"/>
  <c r="B55" i="2"/>
  <c r="C55" i="2"/>
  <c r="D55" i="2"/>
  <c r="E55" i="2"/>
  <c r="F55" i="2"/>
  <c r="G55" i="2"/>
  <c r="H55" i="2"/>
  <c r="I55" i="2"/>
  <c r="J55" i="2"/>
  <c r="K55" i="2"/>
  <c r="L55" i="2"/>
  <c r="A2" i="2"/>
  <c r="A17" i="2"/>
  <c r="A31" i="2"/>
  <c r="A45" i="2"/>
  <c r="Q12" i="2"/>
  <c r="S12" i="2"/>
  <c r="N9" i="2"/>
  <c r="N10" i="2"/>
  <c r="N11" i="2"/>
  <c r="Q3" i="2"/>
  <c r="N3" i="2"/>
  <c r="S3" i="2"/>
  <c r="Q4" i="2"/>
  <c r="N4" i="2"/>
  <c r="S4" i="2"/>
  <c r="Q5" i="2"/>
  <c r="N5" i="2"/>
  <c r="S5" i="2"/>
  <c r="Q6" i="2"/>
  <c r="N6" i="2"/>
  <c r="S6" i="2"/>
  <c r="Q7" i="2"/>
  <c r="N7" i="2"/>
  <c r="S7" i="2"/>
  <c r="Q8" i="2"/>
  <c r="N8" i="2"/>
  <c r="S8" i="2"/>
  <c r="Q9" i="2"/>
  <c r="S9" i="2"/>
  <c r="Q10" i="2"/>
  <c r="S10" i="2"/>
  <c r="Q11" i="2"/>
  <c r="S11" i="2"/>
  <c r="L30" i="2"/>
  <c r="N2" i="2"/>
  <c r="K30" i="2"/>
  <c r="J30" i="2"/>
  <c r="I30" i="2"/>
  <c r="H30" i="2"/>
  <c r="G30" i="2"/>
  <c r="F30" i="2"/>
  <c r="E30" i="2"/>
  <c r="D30" i="2"/>
  <c r="C30" i="2"/>
  <c r="B30" i="2"/>
  <c r="C45" i="2"/>
  <c r="D45" i="2"/>
  <c r="E45" i="2"/>
  <c r="F45" i="2"/>
  <c r="G45" i="2"/>
  <c r="H45" i="2"/>
  <c r="I45" i="2"/>
  <c r="J45" i="2"/>
  <c r="K45" i="2"/>
  <c r="L45" i="2"/>
  <c r="B45" i="2"/>
  <c r="E2" i="3"/>
  <c r="D2" i="3"/>
  <c r="F2" i="3"/>
  <c r="Q2" i="2"/>
  <c r="S2" i="2"/>
  <c r="B2" i="3"/>
</calcChain>
</file>

<file path=xl/sharedStrings.xml><?xml version="1.0" encoding="utf-8"?>
<sst xmlns="http://schemas.openxmlformats.org/spreadsheetml/2006/main" count="96" uniqueCount="62">
  <si>
    <t>CHF</t>
  </si>
  <si>
    <t>ATM</t>
  </si>
  <si>
    <t>35D Call EUR</t>
  </si>
  <si>
    <t>35D Put EUR</t>
  </si>
  <si>
    <t>25D Call EUR</t>
  </si>
  <si>
    <t>25D Put EUR</t>
  </si>
  <si>
    <t>15D Call EUR</t>
  </si>
  <si>
    <t>15D Put EUR</t>
  </si>
  <si>
    <t>10D Call EUR</t>
  </si>
  <si>
    <t>10D Put EUR</t>
  </si>
  <si>
    <t>5D Call EUR</t>
  </si>
  <si>
    <t>5D Put EUR</t>
  </si>
  <si>
    <t>1W</t>
  </si>
  <si>
    <t>2W</t>
  </si>
  <si>
    <t>3W</t>
  </si>
  <si>
    <t>1M</t>
  </si>
  <si>
    <t>2M</t>
  </si>
  <si>
    <t>3M</t>
  </si>
  <si>
    <t>4M</t>
  </si>
  <si>
    <t>6M</t>
  </si>
  <si>
    <t>9M</t>
  </si>
  <si>
    <t>1Y</t>
  </si>
  <si>
    <t>18M</t>
  </si>
  <si>
    <t>2Y</t>
  </si>
  <si>
    <t>Exp</t>
  </si>
  <si>
    <t>CHF Interest rate</t>
  </si>
  <si>
    <t>Underlying information</t>
  </si>
  <si>
    <t>Maturity in fraction of year</t>
  </si>
  <si>
    <t>Spot price</t>
  </si>
  <si>
    <t>Strikes</t>
  </si>
  <si>
    <t>Mid Price Vol</t>
  </si>
  <si>
    <t>Option prices</t>
  </si>
  <si>
    <t>Maturity</t>
  </si>
  <si>
    <t>Prices</t>
  </si>
  <si>
    <t>Strike</t>
  </si>
  <si>
    <t>r</t>
  </si>
  <si>
    <t>q</t>
  </si>
  <si>
    <t>Option_type</t>
  </si>
  <si>
    <t>Delta</t>
  </si>
  <si>
    <t>USD Dep</t>
  </si>
  <si>
    <t>CHF Dep</t>
  </si>
  <si>
    <t>USDCHF Fwd</t>
  </si>
  <si>
    <t>USD</t>
  </si>
  <si>
    <t>Bloomberg BGN</t>
  </si>
  <si>
    <t>35D Call USD</t>
  </si>
  <si>
    <t>35D Put USD</t>
  </si>
  <si>
    <t>25D Call USD</t>
  </si>
  <si>
    <t>25D Put USD</t>
  </si>
  <si>
    <t>15D Call USD</t>
  </si>
  <si>
    <t>15D Put USD</t>
  </si>
  <si>
    <t>10D Call USD</t>
  </si>
  <si>
    <t>10D Put USD</t>
  </si>
  <si>
    <t>5D Call USD</t>
  </si>
  <si>
    <t>5D Put USD</t>
  </si>
  <si>
    <t>Mid</t>
  </si>
  <si>
    <t>Spread</t>
  </si>
  <si>
    <t>USD Interest rate</t>
  </si>
  <si>
    <t>USDCHF Forward exchange  rate</t>
  </si>
  <si>
    <t>domestic</t>
  </si>
  <si>
    <t>foreign</t>
  </si>
  <si>
    <t>5M</t>
  </si>
  <si>
    <t>Bid/Mid/Ask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</si>
</sst>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"/>
    <numFmt numFmtId="166" formatCode="0.000000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u/>
      <sz val="10"/>
      <color theme="10"/>
      <name val="Arial"/>
    </font>
    <font>
      <u/>
      <sz val="10"/>
      <color theme="11"/>
      <name val="Arial"/>
    </font>
    <font>
      <sz val="12"/>
      <name val="Calibri"/>
    </font>
    <font>
      <b/>
      <sz val="12"/>
      <name val="Calibri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1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8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18">
    <xf numFmtId="0" fontId="18" fillId="0" borderId="0" xfId="0" applyFont="1"/>
    <xf numFmtId="0" fontId="21" fillId="0" borderId="0" xfId="0" applyFont="1"/>
    <xf numFmtId="14" fontId="21" fillId="0" borderId="0" xfId="0" applyNumberFormat="1" applyFont="1"/>
    <xf numFmtId="0" fontId="21" fillId="0" borderId="0" xfId="0" applyFont="1" applyAlignment="1">
      <alignment horizontal="center" wrapText="1"/>
    </xf>
    <xf numFmtId="2" fontId="21" fillId="0" borderId="0" xfId="0" applyNumberFormat="1" applyFont="1"/>
    <xf numFmtId="164" fontId="21" fillId="0" borderId="0" xfId="0" applyNumberFormat="1" applyFont="1"/>
    <xf numFmtId="165" fontId="21" fillId="0" borderId="0" xfId="0" applyNumberFormat="1" applyFont="1"/>
    <xf numFmtId="0" fontId="22" fillId="0" borderId="0" xfId="0" applyFont="1"/>
    <xf numFmtId="0" fontId="21" fillId="0" borderId="0" xfId="0" applyNumberFormat="1" applyFont="1"/>
    <xf numFmtId="0" fontId="21" fillId="0" borderId="0" xfId="42" applyNumberFormat="1" applyFont="1"/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0" fillId="0" borderId="0" xfId="0" applyFont="1" applyAlignment="1">
      <alignment vertical="center" wrapText="1"/>
    </xf>
    <xf numFmtId="0" fontId="0" fillId="0" borderId="0" xfId="0" applyFont="1" applyAlignment="1">
      <alignment horizontal="right" vertical="center" wrapText="1"/>
    </xf>
    <xf numFmtId="10" fontId="0" fillId="0" borderId="0" xfId="0" applyNumberFormat="1" applyFont="1" applyAlignment="1">
      <alignment horizontal="right" vertical="center" wrapText="1"/>
    </xf>
    <xf numFmtId="0" fontId="21" fillId="0" borderId="0" xfId="0" applyFont="1" applyFill="1"/>
    <xf numFmtId="0" fontId="0" fillId="0" borderId="0" xfId="0" applyFont="1"/>
    <xf numFmtId="166" fontId="0" fillId="0" borderId="0" xfId="0" applyNumberFormat="1"/>
  </cellXfs>
  <cellStyles count="115">
    <cellStyle name="20 % - Accent1" xfId="19" builtinId="30" customBuiltin="1"/>
    <cellStyle name="20 % - Accent2" xfId="23" builtinId="34" customBuiltin="1"/>
    <cellStyle name="20 % - Accent3" xfId="27" builtinId="38" customBuiltin="1"/>
    <cellStyle name="20 % - Accent4" xfId="31" builtinId="42" customBuiltin="1"/>
    <cellStyle name="20 % - Accent5" xfId="35" builtinId="46" customBuiltin="1"/>
    <cellStyle name="20 % - Accent6" xfId="39" builtinId="50" customBuiltin="1"/>
    <cellStyle name="40 % - Accent1" xfId="20" builtinId="31" customBuiltin="1"/>
    <cellStyle name="40 % - Accent2" xfId="24" builtinId="35" customBuiltin="1"/>
    <cellStyle name="40 % - Accent3" xfId="28" builtinId="39" customBuiltin="1"/>
    <cellStyle name="40 % - Accent4" xfId="32" builtinId="43" customBuiltin="1"/>
    <cellStyle name="40 % - Accent5" xfId="36" builtinId="47" customBuiltin="1"/>
    <cellStyle name="40 % - Accent6" xfId="40" builtinId="51" customBuiltin="1"/>
    <cellStyle name="60 % - Accent1" xfId="21" builtinId="32" customBuiltin="1"/>
    <cellStyle name="60 % - Accent2" xfId="25" builtinId="36" customBuiltin="1"/>
    <cellStyle name="60 % - Accent3" xfId="29" builtinId="40" customBuiltin="1"/>
    <cellStyle name="60 % - Accent4" xfId="33" builtinId="44" customBuiltin="1"/>
    <cellStyle name="60 % - Accent5" xfId="37" builtinId="48" customBuiltin="1"/>
    <cellStyle name="60 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Lien hypertexte" xfId="43" builtinId="8" hidden="1"/>
    <cellStyle name="Lien hypertexte" xfId="45" builtinId="8" hidden="1"/>
    <cellStyle name="Lien hypertexte" xfId="47" builtinId="8" hidden="1"/>
    <cellStyle name="Lien hypertexte" xfId="49" builtinId="8" hidden="1"/>
    <cellStyle name="Lien hypertexte" xfId="51" builtinId="8" hidden="1"/>
    <cellStyle name="Lien hypertexte" xfId="53" builtinId="8" hidden="1"/>
    <cellStyle name="Lien hypertexte" xfId="55" builtinId="8" hidden="1"/>
    <cellStyle name="Lien hypertexte" xfId="57" builtinId="8" hidden="1"/>
    <cellStyle name="Lien hypertexte" xfId="59" builtinId="8" hidden="1"/>
    <cellStyle name="Lien hypertexte" xfId="61" builtinId="8" hidden="1"/>
    <cellStyle name="Lien hypertexte" xfId="63" builtinId="8" hidden="1"/>
    <cellStyle name="Lien hypertexte" xfId="65" builtinId="8" hidden="1"/>
    <cellStyle name="Lien hypertexte" xfId="67" builtinId="8" hidden="1"/>
    <cellStyle name="Lien hypertexte" xfId="69" builtinId="8" hidden="1"/>
    <cellStyle name="Lien hypertexte" xfId="71" builtinId="8" hidden="1"/>
    <cellStyle name="Lien hypertexte" xfId="73" builtinId="8" hidden="1"/>
    <cellStyle name="Lien hypertexte" xfId="75" builtinId="8" hidden="1"/>
    <cellStyle name="Lien hypertexte" xfId="77" builtinId="8" hidden="1"/>
    <cellStyle name="Lien hypertexte" xfId="79" builtinId="8" hidden="1"/>
    <cellStyle name="Lien hypertexte" xfId="81" builtinId="8" hidden="1"/>
    <cellStyle name="Lien hypertexte" xfId="83" builtinId="8" hidden="1"/>
    <cellStyle name="Lien hypertexte" xfId="85" builtinId="8" hidden="1"/>
    <cellStyle name="Lien hypertexte" xfId="87" builtinId="8" hidden="1"/>
    <cellStyle name="Lien hypertexte" xfId="89" builtinId="8" hidden="1"/>
    <cellStyle name="Lien hypertexte" xfId="91" builtinId="8" hidden="1"/>
    <cellStyle name="Lien hypertexte" xfId="93" builtinId="8" hidden="1"/>
    <cellStyle name="Lien hypertexte" xfId="95" builtinId="8" hidden="1"/>
    <cellStyle name="Lien hypertexte" xfId="97" builtinId="8" hidden="1"/>
    <cellStyle name="Lien hypertexte" xfId="99" builtinId="8" hidden="1"/>
    <cellStyle name="Lien hypertexte" xfId="101" builtinId="8" hidden="1"/>
    <cellStyle name="Lien hypertexte" xfId="103" builtinId="8" hidden="1"/>
    <cellStyle name="Lien hypertexte" xfId="105" builtinId="8" hidden="1"/>
    <cellStyle name="Lien hypertexte" xfId="107" builtinId="8" hidden="1"/>
    <cellStyle name="Lien hypertexte" xfId="109" builtinId="8" hidden="1"/>
    <cellStyle name="Lien hypertexte" xfId="111" builtinId="8" hidden="1"/>
    <cellStyle name="Lien hypertexte" xfId="113" builtinId="8" hidden="1"/>
    <cellStyle name="Lien hypertexte visité" xfId="44" builtinId="9" hidden="1"/>
    <cellStyle name="Lien hypertexte visité" xfId="46" builtinId="9" hidden="1"/>
    <cellStyle name="Lien hypertexte visité" xfId="48" builtinId="9" hidden="1"/>
    <cellStyle name="Lien hypertexte visité" xfId="50" builtinId="9" hidden="1"/>
    <cellStyle name="Lien hypertexte visité" xfId="52" builtinId="9" hidden="1"/>
    <cellStyle name="Lien hypertexte visité" xfId="54" builtinId="9" hidden="1"/>
    <cellStyle name="Lien hypertexte visité" xfId="56" builtinId="9" hidden="1"/>
    <cellStyle name="Lien hypertexte visité" xfId="58" builtinId="9" hidden="1"/>
    <cellStyle name="Lien hypertexte visité" xfId="60" builtinId="9" hidden="1"/>
    <cellStyle name="Lien hypertexte visité" xfId="62" builtinId="9" hidden="1"/>
    <cellStyle name="Lien hypertexte visité" xfId="64" builtinId="9" hidden="1"/>
    <cellStyle name="Lien hypertexte visité" xfId="66" builtinId="9" hidden="1"/>
    <cellStyle name="Lien hypertexte visité" xfId="68" builtinId="9" hidden="1"/>
    <cellStyle name="Lien hypertexte visité" xfId="70" builtinId="9" hidden="1"/>
    <cellStyle name="Lien hypertexte visité" xfId="72" builtinId="9" hidden="1"/>
    <cellStyle name="Lien hypertexte visité" xfId="74" builtinId="9" hidden="1"/>
    <cellStyle name="Lien hypertexte visité" xfId="76" builtinId="9" hidden="1"/>
    <cellStyle name="Lien hypertexte visité" xfId="78" builtinId="9" hidden="1"/>
    <cellStyle name="Lien hypertexte visité" xfId="80" builtinId="9" hidden="1"/>
    <cellStyle name="Lien hypertexte visité" xfId="82" builtinId="9" hidden="1"/>
    <cellStyle name="Lien hypertexte visité" xfId="84" builtinId="9" hidden="1"/>
    <cellStyle name="Lien hypertexte visité" xfId="86" builtinId="9" hidden="1"/>
    <cellStyle name="Lien hypertexte visité" xfId="88" builtinId="9" hidden="1"/>
    <cellStyle name="Lien hypertexte visité" xfId="90" builtinId="9" hidden="1"/>
    <cellStyle name="Lien hypertexte visité" xfId="92" builtinId="9" hidden="1"/>
    <cellStyle name="Lien hypertexte visité" xfId="94" builtinId="9" hidden="1"/>
    <cellStyle name="Lien hypertexte visité" xfId="96" builtinId="9" hidden="1"/>
    <cellStyle name="Lien hypertexte visité" xfId="98" builtinId="9" hidden="1"/>
    <cellStyle name="Lien hypertexte visité" xfId="100" builtinId="9" hidden="1"/>
    <cellStyle name="Lien hypertexte visité" xfId="102" builtinId="9" hidden="1"/>
    <cellStyle name="Lien hypertexte visité" xfId="104" builtinId="9" hidden="1"/>
    <cellStyle name="Lien hypertexte visité" xfId="106" builtinId="9" hidden="1"/>
    <cellStyle name="Lien hypertexte visité" xfId="108" builtinId="9" hidden="1"/>
    <cellStyle name="Lien hypertexte visité" xfId="110" builtinId="9" hidden="1"/>
    <cellStyle name="Lien hypertexte visité" xfId="112" builtinId="9" hidden="1"/>
    <cellStyle name="Lien hypertexte visité" xfId="114" builtinId="9" hidden="1"/>
    <cellStyle name="Neutre" xfId="8" builtinId="28" customBuiltin="1"/>
    <cellStyle name="Normal" xfId="0" builtinId="0"/>
    <cellStyle name="Pourcentage" xfId="42" builtinId="5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1" enableFormatConditionsCalculation="0"/>
  <dimension ref="A1:AD25"/>
  <sheetViews>
    <sheetView topLeftCell="P1" zoomScale="125" zoomScaleNormal="125" zoomScalePageLayoutView="125" workbookViewId="0">
      <selection activeCell="Z20" sqref="Z20"/>
    </sheetView>
  </sheetViews>
  <sheetFormatPr baseColWidth="10" defaultColWidth="8.83203125" defaultRowHeight="16" x14ac:dyDescent="0.2"/>
  <cols>
    <col min="1" max="1" width="5" style="1" bestFit="1" customWidth="1"/>
    <col min="2" max="2" width="8.6640625" style="1" bestFit="1" customWidth="1"/>
    <col min="3" max="3" width="11.33203125" style="1" bestFit="1" customWidth="1"/>
    <col min="4" max="4" width="11.5" style="1" bestFit="1" customWidth="1"/>
    <col min="5" max="5" width="11.1640625" style="1" bestFit="1" customWidth="1"/>
    <col min="6" max="6" width="11.1640625" style="1" customWidth="1"/>
    <col min="7" max="7" width="11.1640625" style="1" bestFit="1" customWidth="1"/>
    <col min="8" max="8" width="11.83203125" style="1" bestFit="1" customWidth="1"/>
    <col min="9" max="9" width="6.83203125" style="1" bestFit="1" customWidth="1"/>
    <col min="10" max="10" width="11.6640625" style="1" bestFit="1" customWidth="1"/>
    <col min="11" max="11" width="7.83203125" style="1" bestFit="1" customWidth="1"/>
    <col min="12" max="12" width="11.83203125" style="1" bestFit="1" customWidth="1"/>
    <col min="13" max="13" width="6.83203125" style="1" bestFit="1" customWidth="1"/>
    <col min="14" max="14" width="11.6640625" style="1" bestFit="1" customWidth="1"/>
    <col min="15" max="15" width="7.83203125" style="1" bestFit="1" customWidth="1"/>
    <col min="16" max="16" width="11.83203125" style="1" bestFit="1" customWidth="1"/>
    <col min="17" max="17" width="6.83203125" style="1" bestFit="1" customWidth="1"/>
    <col min="18" max="18" width="11.6640625" style="1" bestFit="1" customWidth="1"/>
    <col min="19" max="19" width="7.83203125" style="1" bestFit="1" customWidth="1"/>
    <col min="20" max="20" width="10.83203125" style="1" bestFit="1" customWidth="1"/>
    <col min="21" max="21" width="6.83203125" style="1" bestFit="1" customWidth="1"/>
    <col min="22" max="22" width="10.6640625" style="1" bestFit="1" customWidth="1"/>
    <col min="23" max="23" width="7.83203125" style="1" bestFit="1" customWidth="1"/>
    <col min="24" max="25" width="8.83203125" style="1"/>
    <col min="26" max="26" width="14.33203125" style="1" bestFit="1" customWidth="1"/>
    <col min="27" max="27" width="11.6640625" style="1" customWidth="1"/>
    <col min="28" max="28" width="14.1640625" style="1" bestFit="1" customWidth="1"/>
    <col min="29" max="29" width="18.33203125" style="1" customWidth="1"/>
    <col min="30" max="30" width="15" style="8" bestFit="1" customWidth="1"/>
    <col min="31" max="31" width="11.6640625" style="1" bestFit="1" customWidth="1"/>
    <col min="32" max="32" width="11.1640625" style="1" bestFit="1" customWidth="1"/>
    <col min="33" max="33" width="15.1640625" style="1" bestFit="1" customWidth="1"/>
    <col min="34" max="34" width="4.1640625" style="1" bestFit="1" customWidth="1"/>
    <col min="35" max="35" width="10.83203125" style="1" bestFit="1" customWidth="1"/>
    <col min="36" max="16384" width="8.83203125" style="1"/>
  </cols>
  <sheetData>
    <row r="1" spans="1:30" x14ac:dyDescent="0.2">
      <c r="A1" s="16" t="s">
        <v>42</v>
      </c>
      <c r="B1" s="16" t="s">
        <v>0</v>
      </c>
      <c r="C1" s="16"/>
      <c r="D1" s="16" t="s">
        <v>43</v>
      </c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/>
      <c r="Q1"/>
      <c r="R1"/>
      <c r="S1"/>
      <c r="T1"/>
      <c r="U1"/>
      <c r="V1"/>
      <c r="W1"/>
      <c r="Z1" s="7" t="s">
        <v>26</v>
      </c>
      <c r="AD1" s="1"/>
    </row>
    <row r="2" spans="1:30" x14ac:dyDescent="0.2">
      <c r="A2" s="16"/>
      <c r="B2" s="16" t="s">
        <v>1</v>
      </c>
      <c r="C2" s="16"/>
      <c r="D2" s="16" t="s">
        <v>44</v>
      </c>
      <c r="E2" s="16"/>
      <c r="F2" s="16" t="s">
        <v>45</v>
      </c>
      <c r="G2" s="16"/>
      <c r="H2" s="16" t="s">
        <v>46</v>
      </c>
      <c r="I2" s="16"/>
      <c r="J2" s="16" t="s">
        <v>47</v>
      </c>
      <c r="K2" s="16"/>
      <c r="L2" s="16" t="s">
        <v>48</v>
      </c>
      <c r="M2" s="16"/>
      <c r="N2" s="16" t="s">
        <v>49</v>
      </c>
      <c r="O2" s="16"/>
      <c r="P2" t="s">
        <v>50</v>
      </c>
      <c r="Q2"/>
      <c r="R2" t="s">
        <v>51</v>
      </c>
      <c r="S2"/>
      <c r="T2" t="s">
        <v>52</v>
      </c>
      <c r="U2"/>
      <c r="V2" t="s">
        <v>53</v>
      </c>
      <c r="W2"/>
      <c r="AD2" s="1"/>
    </row>
    <row r="3" spans="1:30" x14ac:dyDescent="0.2">
      <c r="A3" s="16"/>
      <c r="B3" s="16" t="s">
        <v>54</v>
      </c>
      <c r="C3" s="16" t="s">
        <v>55</v>
      </c>
      <c r="D3" s="16" t="s">
        <v>54</v>
      </c>
      <c r="E3" s="16" t="s">
        <v>55</v>
      </c>
      <c r="F3" s="16" t="s">
        <v>54</v>
      </c>
      <c r="G3" s="16" t="s">
        <v>55</v>
      </c>
      <c r="H3" s="16" t="s">
        <v>54</v>
      </c>
      <c r="I3" s="16" t="s">
        <v>55</v>
      </c>
      <c r="J3" s="16" t="s">
        <v>54</v>
      </c>
      <c r="K3" s="16" t="s">
        <v>55</v>
      </c>
      <c r="L3" s="16" t="s">
        <v>54</v>
      </c>
      <c r="M3" s="16" t="s">
        <v>55</v>
      </c>
      <c r="N3" s="16" t="s">
        <v>54</v>
      </c>
      <c r="O3" s="16" t="s">
        <v>55</v>
      </c>
      <c r="P3" t="s">
        <v>54</v>
      </c>
      <c r="Q3" t="s">
        <v>55</v>
      </c>
      <c r="R3" t="s">
        <v>54</v>
      </c>
      <c r="S3" t="s">
        <v>55</v>
      </c>
      <c r="T3" t="s">
        <v>54</v>
      </c>
      <c r="U3" t="s">
        <v>55</v>
      </c>
      <c r="V3" t="s">
        <v>54</v>
      </c>
      <c r="W3" t="s">
        <v>55</v>
      </c>
      <c r="Z3" s="12" t="s">
        <v>24</v>
      </c>
      <c r="AA3" s="13" t="s">
        <v>39</v>
      </c>
      <c r="AB3" s="13" t="s">
        <v>40</v>
      </c>
      <c r="AC3" s="13" t="s">
        <v>41</v>
      </c>
      <c r="AD3" s="1"/>
    </row>
    <row r="4" spans="1:30" s="15" customFormat="1" x14ac:dyDescent="0.2">
      <c r="A4" s="16" t="s">
        <v>12</v>
      </c>
      <c r="B4" s="16">
        <v>7.0209999999999999</v>
      </c>
      <c r="C4" s="16">
        <v>1.4790000000000001</v>
      </c>
      <c r="D4" s="16">
        <v>6.95</v>
      </c>
      <c r="E4" s="16">
        <v>1.591</v>
      </c>
      <c r="F4" s="16">
        <v>7.2270000000000003</v>
      </c>
      <c r="G4" s="16">
        <v>1.5980000000000001</v>
      </c>
      <c r="H4" s="16">
        <v>6.9710000000000001</v>
      </c>
      <c r="I4" s="16">
        <v>1.8580000000000001</v>
      </c>
      <c r="J4" s="16">
        <v>7.4610000000000003</v>
      </c>
      <c r="K4" s="16">
        <v>1.869</v>
      </c>
      <c r="L4" s="16">
        <v>7.0739999999999998</v>
      </c>
      <c r="M4" s="16">
        <v>2.5510000000000002</v>
      </c>
      <c r="N4" s="16">
        <v>7.8209999999999997</v>
      </c>
      <c r="O4" s="16">
        <v>2.5640000000000001</v>
      </c>
      <c r="P4">
        <v>7.1669999999999998</v>
      </c>
      <c r="Q4">
        <v>3.42</v>
      </c>
      <c r="R4">
        <v>8.0749999999999993</v>
      </c>
      <c r="S4">
        <v>3.431</v>
      </c>
      <c r="T4">
        <v>7.3360000000000003</v>
      </c>
      <c r="U4">
        <v>5.7270000000000003</v>
      </c>
      <c r="V4">
        <v>8.4499999999999993</v>
      </c>
      <c r="W4">
        <v>5.7839999999999998</v>
      </c>
      <c r="Z4" s="12" t="s">
        <v>12</v>
      </c>
      <c r="AA4" s="14">
        <v>7.0699999999999999E-3</v>
      </c>
      <c r="AB4" s="14">
        <v>-1.298E-2</v>
      </c>
      <c r="AC4" s="13">
        <v>0.9758</v>
      </c>
    </row>
    <row r="5" spans="1:30" s="15" customFormat="1" x14ac:dyDescent="0.2">
      <c r="A5" s="16" t="s">
        <v>13</v>
      </c>
      <c r="B5" s="16">
        <v>6.9950000000000001</v>
      </c>
      <c r="C5" s="16">
        <v>0.94499999999999995</v>
      </c>
      <c r="D5" s="16">
        <v>6.9029999999999996</v>
      </c>
      <c r="E5" s="16">
        <v>1.0149999999999999</v>
      </c>
      <c r="F5" s="16">
        <v>7.2380000000000004</v>
      </c>
      <c r="G5" s="16">
        <v>1.022</v>
      </c>
      <c r="H5" s="16">
        <v>6.9240000000000004</v>
      </c>
      <c r="I5" s="16">
        <v>1.1830000000000001</v>
      </c>
      <c r="J5" s="16">
        <v>7.5119999999999996</v>
      </c>
      <c r="K5" s="16">
        <v>1.1930000000000001</v>
      </c>
      <c r="L5" s="16">
        <v>7.0309999999999997</v>
      </c>
      <c r="M5" s="16">
        <v>1.6160000000000001</v>
      </c>
      <c r="N5" s="16">
        <v>7.9160000000000004</v>
      </c>
      <c r="O5" s="16">
        <v>1.631</v>
      </c>
      <c r="P5">
        <v>7.1310000000000002</v>
      </c>
      <c r="Q5">
        <v>2.1549999999999998</v>
      </c>
      <c r="R5">
        <v>8.1969999999999992</v>
      </c>
      <c r="S5">
        <v>2.1739999999999999</v>
      </c>
      <c r="T5">
        <v>7.3120000000000003</v>
      </c>
      <c r="U5">
        <v>3.6560000000000001</v>
      </c>
      <c r="V5">
        <v>8.6210000000000004</v>
      </c>
      <c r="W5">
        <v>3.6930000000000001</v>
      </c>
      <c r="Z5" s="12" t="s">
        <v>13</v>
      </c>
      <c r="AA5" s="14">
        <v>5.8399999999999997E-3</v>
      </c>
      <c r="AB5" s="14">
        <v>-1.453E-2</v>
      </c>
      <c r="AC5" s="13">
        <v>0.97540000000000004</v>
      </c>
    </row>
    <row r="6" spans="1:30" s="15" customFormat="1" x14ac:dyDescent="0.2">
      <c r="A6" s="16" t="s">
        <v>14</v>
      </c>
      <c r="B6" s="16">
        <v>7.2770000000000001</v>
      </c>
      <c r="C6" s="16">
        <v>0.77500000000000002</v>
      </c>
      <c r="D6" s="16">
        <v>7.194</v>
      </c>
      <c r="E6" s="16">
        <v>0.83099999999999996</v>
      </c>
      <c r="F6" s="16">
        <v>7.5039999999999996</v>
      </c>
      <c r="G6" s="16">
        <v>0.83799999999999997</v>
      </c>
      <c r="H6" s="16">
        <v>7.2190000000000003</v>
      </c>
      <c r="I6" s="16">
        <v>0.96799999999999997</v>
      </c>
      <c r="J6" s="16">
        <v>7.7649999999999997</v>
      </c>
      <c r="K6" s="16">
        <v>0.97899999999999998</v>
      </c>
      <c r="L6" s="16">
        <v>7.32</v>
      </c>
      <c r="M6" s="16">
        <v>1.321</v>
      </c>
      <c r="N6" s="16">
        <v>8.14</v>
      </c>
      <c r="O6" s="16">
        <v>1.337</v>
      </c>
      <c r="P6">
        <v>7.4160000000000004</v>
      </c>
      <c r="Q6">
        <v>1.7589999999999999</v>
      </c>
      <c r="R6">
        <v>8.4049999999999994</v>
      </c>
      <c r="S6">
        <v>1.78</v>
      </c>
      <c r="T6">
        <v>7.5919999999999996</v>
      </c>
      <c r="U6">
        <v>2.9889999999999999</v>
      </c>
      <c r="V6">
        <v>8.8059999999999992</v>
      </c>
      <c r="W6">
        <v>3.0270000000000001</v>
      </c>
      <c r="Z6" s="12" t="s">
        <v>14</v>
      </c>
      <c r="AA6" s="14">
        <v>7.1199999999999996E-3</v>
      </c>
      <c r="AB6" s="14">
        <v>-1.332E-2</v>
      </c>
      <c r="AC6" s="13">
        <v>0.97499999999999998</v>
      </c>
    </row>
    <row r="7" spans="1:30" s="15" customFormat="1" x14ac:dyDescent="0.2">
      <c r="A7" s="16" t="s">
        <v>15</v>
      </c>
      <c r="B7" s="16">
        <v>7.5439999999999996</v>
      </c>
      <c r="C7" s="16">
        <v>0.6</v>
      </c>
      <c r="D7" s="16">
        <v>7.4720000000000004</v>
      </c>
      <c r="E7" s="16">
        <v>0.64300000000000002</v>
      </c>
      <c r="F7" s="16">
        <v>7.7770000000000001</v>
      </c>
      <c r="G7" s="16">
        <v>0.65</v>
      </c>
      <c r="H7" s="16">
        <v>7.5170000000000003</v>
      </c>
      <c r="I7" s="16">
        <v>0.748</v>
      </c>
      <c r="J7" s="16">
        <v>8.0519999999999996</v>
      </c>
      <c r="K7" s="16">
        <v>0.75900000000000001</v>
      </c>
      <c r="L7" s="16">
        <v>7.6630000000000003</v>
      </c>
      <c r="M7" s="16">
        <v>1.02</v>
      </c>
      <c r="N7" s="16">
        <v>8.4860000000000007</v>
      </c>
      <c r="O7" s="16">
        <v>1.036</v>
      </c>
      <c r="P7">
        <v>7.798</v>
      </c>
      <c r="Q7">
        <v>1.357</v>
      </c>
      <c r="R7">
        <v>8.7919999999999998</v>
      </c>
      <c r="S7">
        <v>1.379</v>
      </c>
      <c r="T7">
        <v>8.0299999999999994</v>
      </c>
      <c r="U7">
        <v>2.3069999999999999</v>
      </c>
      <c r="V7">
        <v>9.2520000000000007</v>
      </c>
      <c r="W7">
        <v>2.3460000000000001</v>
      </c>
      <c r="Z7" s="12" t="s">
        <v>15</v>
      </c>
      <c r="AA7" s="14">
        <v>8.6700000000000006E-3</v>
      </c>
      <c r="AB7" s="14">
        <v>-1.225E-2</v>
      </c>
      <c r="AC7" s="13">
        <v>0.97430000000000005</v>
      </c>
    </row>
    <row r="8" spans="1:30" s="15" customFormat="1" x14ac:dyDescent="0.2">
      <c r="A8" s="16" t="s">
        <v>16</v>
      </c>
      <c r="B8" s="16">
        <v>7.1520000000000001</v>
      </c>
      <c r="C8" s="16">
        <v>0.55000000000000004</v>
      </c>
      <c r="D8" s="16">
        <v>7.077</v>
      </c>
      <c r="E8" s="16">
        <v>0.58799999999999997</v>
      </c>
      <c r="F8" s="16">
        <v>7.4029999999999996</v>
      </c>
      <c r="G8" s="16">
        <v>0.59699999999999998</v>
      </c>
      <c r="H8" s="16">
        <v>7.1390000000000002</v>
      </c>
      <c r="I8" s="16">
        <v>0.68400000000000005</v>
      </c>
      <c r="J8" s="16">
        <v>7.7119999999999997</v>
      </c>
      <c r="K8" s="16">
        <v>0.69699999999999995</v>
      </c>
      <c r="L8" s="16">
        <v>7.3129999999999997</v>
      </c>
      <c r="M8" s="16">
        <v>0.93200000000000005</v>
      </c>
      <c r="N8" s="16">
        <v>8.1880000000000006</v>
      </c>
      <c r="O8" s="16">
        <v>0.95199999999999996</v>
      </c>
      <c r="P8">
        <v>7.4720000000000004</v>
      </c>
      <c r="Q8">
        <v>1.2390000000000001</v>
      </c>
      <c r="R8">
        <v>8.5250000000000004</v>
      </c>
      <c r="S8">
        <v>1.2669999999999999</v>
      </c>
      <c r="T8">
        <v>7.7430000000000003</v>
      </c>
      <c r="U8">
        <v>2.1059999999999999</v>
      </c>
      <c r="V8">
        <v>9.0380000000000003</v>
      </c>
      <c r="W8">
        <v>2.1549999999999998</v>
      </c>
      <c r="Z8" s="12" t="s">
        <v>16</v>
      </c>
      <c r="AA8" s="14">
        <v>1.0019999999999999E-2</v>
      </c>
      <c r="AB8" s="14">
        <v>-1.2749999999999999E-2</v>
      </c>
      <c r="AC8" s="13">
        <v>0.97230000000000005</v>
      </c>
    </row>
    <row r="9" spans="1:30" s="15" customFormat="1" x14ac:dyDescent="0.2">
      <c r="A9" s="16" t="s">
        <v>17</v>
      </c>
      <c r="B9" s="16">
        <v>7.1790000000000003</v>
      </c>
      <c r="C9" s="16">
        <v>0.57499999999999996</v>
      </c>
      <c r="D9" s="16">
        <v>7.101</v>
      </c>
      <c r="E9" s="16">
        <v>0.61299999999999999</v>
      </c>
      <c r="F9" s="16">
        <v>7.4580000000000002</v>
      </c>
      <c r="G9" s="16">
        <v>0.624</v>
      </c>
      <c r="H9" s="16">
        <v>7.1779999999999999</v>
      </c>
      <c r="I9" s="16">
        <v>0.71299999999999997</v>
      </c>
      <c r="J9" s="16">
        <v>7.806</v>
      </c>
      <c r="K9" s="16">
        <v>0.73</v>
      </c>
      <c r="L9" s="16">
        <v>7.4130000000000003</v>
      </c>
      <c r="M9" s="16">
        <v>0.97099999999999997</v>
      </c>
      <c r="N9" s="16">
        <v>8.3559999999999999</v>
      </c>
      <c r="O9" s="16">
        <v>0.997</v>
      </c>
      <c r="P9">
        <v>7.625</v>
      </c>
      <c r="Q9">
        <v>1.29</v>
      </c>
      <c r="R9">
        <v>8.7449999999999992</v>
      </c>
      <c r="S9">
        <v>1.327</v>
      </c>
      <c r="T9">
        <v>7.968</v>
      </c>
      <c r="U9">
        <v>2.1930000000000001</v>
      </c>
      <c r="V9">
        <v>9.343</v>
      </c>
      <c r="W9">
        <v>2.258</v>
      </c>
      <c r="Z9" s="12" t="s">
        <v>17</v>
      </c>
      <c r="AA9" s="14">
        <v>1.023E-2</v>
      </c>
      <c r="AB9" s="14">
        <v>-1.247E-2</v>
      </c>
      <c r="AC9" s="13">
        <v>0.97030000000000005</v>
      </c>
    </row>
    <row r="10" spans="1:30" s="15" customFormat="1" x14ac:dyDescent="0.2">
      <c r="A10" s="16" t="s">
        <v>18</v>
      </c>
      <c r="B10" s="16">
        <v>7.3339999999999996</v>
      </c>
      <c r="C10" s="16">
        <v>0.56499999999999995</v>
      </c>
      <c r="D10" s="16">
        <v>7.2560000000000002</v>
      </c>
      <c r="E10" s="16">
        <v>0.60099999999999998</v>
      </c>
      <c r="F10" s="16">
        <v>7.6210000000000004</v>
      </c>
      <c r="G10" s="16">
        <v>0.61399999999999999</v>
      </c>
      <c r="H10" s="16">
        <v>7.3449999999999998</v>
      </c>
      <c r="I10" s="16">
        <v>0.69799999999999995</v>
      </c>
      <c r="J10" s="16">
        <v>7.9779999999999998</v>
      </c>
      <c r="K10" s="16">
        <v>0.71799999999999997</v>
      </c>
      <c r="L10" s="16">
        <v>7.5919999999999996</v>
      </c>
      <c r="M10" s="16">
        <v>0.95099999999999996</v>
      </c>
      <c r="N10" s="16">
        <v>8.5470000000000006</v>
      </c>
      <c r="O10" s="16">
        <v>0.98099999999999998</v>
      </c>
      <c r="P10">
        <v>7.8120000000000003</v>
      </c>
      <c r="Q10">
        <v>1.2629999999999999</v>
      </c>
      <c r="R10">
        <v>8.952</v>
      </c>
      <c r="S10">
        <v>1.306</v>
      </c>
      <c r="T10">
        <v>8.1750000000000007</v>
      </c>
      <c r="U10">
        <v>2.1480000000000001</v>
      </c>
      <c r="V10">
        <v>9.5739999999999998</v>
      </c>
      <c r="W10">
        <v>2.2229999999999999</v>
      </c>
      <c r="Z10" s="12" t="s">
        <v>18</v>
      </c>
      <c r="AA10" s="14">
        <v>1.065E-2</v>
      </c>
      <c r="AB10" s="14">
        <v>-1.1939999999999999E-2</v>
      </c>
      <c r="AC10" s="13">
        <v>0.96860000000000002</v>
      </c>
    </row>
    <row r="11" spans="1:30" s="15" customFormat="1" x14ac:dyDescent="0.2">
      <c r="A11" s="16" t="s">
        <v>60</v>
      </c>
      <c r="B11" s="16">
        <v>7.4359999999999999</v>
      </c>
      <c r="C11" s="16">
        <v>0.56799999999999995</v>
      </c>
      <c r="D11" s="16">
        <v>7.3609999999999998</v>
      </c>
      <c r="E11" s="16">
        <v>0.60299999999999998</v>
      </c>
      <c r="F11" s="16">
        <v>7.734</v>
      </c>
      <c r="G11" s="16">
        <v>0.61699999999999999</v>
      </c>
      <c r="H11" s="16">
        <v>7.4580000000000002</v>
      </c>
      <c r="I11" s="16">
        <v>0.7</v>
      </c>
      <c r="J11" s="16">
        <v>8.1110000000000007</v>
      </c>
      <c r="K11" s="16">
        <v>0.72199999999999998</v>
      </c>
      <c r="L11" s="16">
        <v>7.734</v>
      </c>
      <c r="M11" s="16">
        <v>0.95199999999999996</v>
      </c>
      <c r="N11" s="16">
        <v>8.7309999999999999</v>
      </c>
      <c r="O11" s="16">
        <v>0.98799999999999999</v>
      </c>
      <c r="P11">
        <v>7.9870000000000001</v>
      </c>
      <c r="Q11">
        <v>1.2649999999999999</v>
      </c>
      <c r="R11">
        <v>9.1999999999999993</v>
      </c>
      <c r="S11">
        <v>1.3140000000000001</v>
      </c>
      <c r="T11">
        <v>8.3940000000000001</v>
      </c>
      <c r="U11">
        <v>2.15</v>
      </c>
      <c r="V11">
        <v>9.86</v>
      </c>
      <c r="W11">
        <v>2.2370000000000001</v>
      </c>
      <c r="Z11" s="12" t="s">
        <v>60</v>
      </c>
      <c r="AA11" s="14">
        <v>1.094E-2</v>
      </c>
      <c r="AB11" s="14">
        <v>-1.2330000000000001E-2</v>
      </c>
      <c r="AC11" s="13">
        <v>0.96650000000000003</v>
      </c>
    </row>
    <row r="12" spans="1:30" s="15" customFormat="1" x14ac:dyDescent="0.2">
      <c r="A12" s="16" t="s">
        <v>19</v>
      </c>
      <c r="B12" s="16">
        <v>7.4989999999999997</v>
      </c>
      <c r="C12" s="16">
        <v>0.57499999999999996</v>
      </c>
      <c r="D12" s="16">
        <v>7.4219999999999997</v>
      </c>
      <c r="E12" s="16">
        <v>0.61</v>
      </c>
      <c r="F12" s="16">
        <v>7.8049999999999997</v>
      </c>
      <c r="G12" s="16">
        <v>0.626</v>
      </c>
      <c r="H12" s="16">
        <v>7.5259999999999998</v>
      </c>
      <c r="I12" s="16">
        <v>0.70699999999999996</v>
      </c>
      <c r="J12" s="16">
        <v>8.2010000000000005</v>
      </c>
      <c r="K12" s="16">
        <v>0.73299999999999998</v>
      </c>
      <c r="L12" s="16">
        <v>7.827</v>
      </c>
      <c r="M12" s="16">
        <v>0.96199999999999997</v>
      </c>
      <c r="N12" s="16">
        <v>8.8550000000000004</v>
      </c>
      <c r="O12" s="16">
        <v>1.002</v>
      </c>
      <c r="P12">
        <v>8.0939999999999994</v>
      </c>
      <c r="Q12">
        <v>1.2769999999999999</v>
      </c>
      <c r="R12">
        <v>9.3239999999999998</v>
      </c>
      <c r="S12">
        <v>1.333</v>
      </c>
      <c r="T12">
        <v>8.5289999999999999</v>
      </c>
      <c r="U12">
        <v>2.1709999999999998</v>
      </c>
      <c r="V12">
        <v>10.035</v>
      </c>
      <c r="W12">
        <v>2.2690000000000001</v>
      </c>
      <c r="Z12" s="12" t="s">
        <v>19</v>
      </c>
      <c r="AA12" s="14">
        <v>1.116E-2</v>
      </c>
      <c r="AB12" s="14">
        <v>-1.2200000000000001E-2</v>
      </c>
      <c r="AC12" s="13">
        <v>0.96450000000000002</v>
      </c>
    </row>
    <row r="13" spans="1:30" s="15" customFormat="1" x14ac:dyDescent="0.2">
      <c r="A13" s="16" t="s">
        <v>20</v>
      </c>
      <c r="B13" s="16">
        <v>7.726</v>
      </c>
      <c r="C13" s="16">
        <v>0.55000000000000004</v>
      </c>
      <c r="D13" s="16">
        <v>7.6459999999999999</v>
      </c>
      <c r="E13" s="16">
        <v>0.57999999999999996</v>
      </c>
      <c r="F13" s="16">
        <v>8.0559999999999992</v>
      </c>
      <c r="G13" s="16">
        <v>0.6</v>
      </c>
      <c r="H13" s="16">
        <v>7.7690000000000001</v>
      </c>
      <c r="I13" s="16">
        <v>0.67200000000000004</v>
      </c>
      <c r="J13" s="16">
        <v>8.4969999999999999</v>
      </c>
      <c r="K13" s="16">
        <v>0.70199999999999996</v>
      </c>
      <c r="L13" s="16">
        <v>8.11</v>
      </c>
      <c r="M13" s="16">
        <v>0.91200000000000003</v>
      </c>
      <c r="N13" s="16">
        <v>9.2319999999999993</v>
      </c>
      <c r="O13" s="16">
        <v>0.96099999999999997</v>
      </c>
      <c r="P13">
        <v>8.4109999999999996</v>
      </c>
      <c r="Q13">
        <v>1.2110000000000001</v>
      </c>
      <c r="R13">
        <v>9.7710000000000008</v>
      </c>
      <c r="S13">
        <v>1.2789999999999999</v>
      </c>
      <c r="T13">
        <v>8.9120000000000008</v>
      </c>
      <c r="U13">
        <v>2.0569999999999999</v>
      </c>
      <c r="V13">
        <v>10.571</v>
      </c>
      <c r="W13">
        <v>2.1779999999999999</v>
      </c>
      <c r="Z13" s="12" t="s">
        <v>20</v>
      </c>
      <c r="AA13" s="14">
        <v>1.166E-2</v>
      </c>
      <c r="AB13" s="14">
        <v>-1.242E-2</v>
      </c>
      <c r="AC13" s="13">
        <v>0.95820000000000005</v>
      </c>
    </row>
    <row r="14" spans="1:30" x14ac:dyDescent="0.2">
      <c r="A14" s="16" t="s">
        <v>21</v>
      </c>
      <c r="B14" s="16">
        <v>7.9080000000000004</v>
      </c>
      <c r="C14" s="16">
        <v>0.54500000000000004</v>
      </c>
      <c r="D14" s="16">
        <v>7.8280000000000003</v>
      </c>
      <c r="E14" s="16">
        <v>0.57499999999999996</v>
      </c>
      <c r="F14" s="16">
        <v>8.2430000000000003</v>
      </c>
      <c r="G14" s="16">
        <v>0.59799999999999998</v>
      </c>
      <c r="H14" s="16">
        <v>7.9740000000000002</v>
      </c>
      <c r="I14" s="16">
        <v>0.66600000000000004</v>
      </c>
      <c r="J14" s="16">
        <v>8.7070000000000007</v>
      </c>
      <c r="K14" s="16">
        <v>0.70199999999999996</v>
      </c>
      <c r="L14" s="16">
        <v>8.3580000000000005</v>
      </c>
      <c r="M14" s="16">
        <v>0.90400000000000003</v>
      </c>
      <c r="N14" s="16">
        <v>9.4979999999999993</v>
      </c>
      <c r="O14" s="16">
        <v>0.96199999999999997</v>
      </c>
      <c r="P14">
        <v>8.702</v>
      </c>
      <c r="Q14">
        <v>1.2010000000000001</v>
      </c>
      <c r="R14">
        <v>10.084</v>
      </c>
      <c r="S14">
        <v>1.282</v>
      </c>
      <c r="T14">
        <v>9.2569999999999997</v>
      </c>
      <c r="U14">
        <v>2.0409999999999999</v>
      </c>
      <c r="V14">
        <v>10.935</v>
      </c>
      <c r="W14">
        <v>2.1850000000000001</v>
      </c>
      <c r="Z14" s="12" t="s">
        <v>21</v>
      </c>
      <c r="AA14" s="14">
        <v>1.197E-2</v>
      </c>
      <c r="AB14" s="14">
        <v>-1.2370000000000001E-2</v>
      </c>
      <c r="AC14" s="13">
        <v>0.95209999999999995</v>
      </c>
      <c r="AD14" s="1"/>
    </row>
    <row r="15" spans="1:30" x14ac:dyDescent="0.2">
      <c r="A15" s="16" t="s">
        <v>22</v>
      </c>
      <c r="B15" s="16">
        <v>8.0749999999999993</v>
      </c>
      <c r="C15" s="16">
        <v>0.6</v>
      </c>
      <c r="D15" s="16">
        <v>7.9779999999999998</v>
      </c>
      <c r="E15" s="16">
        <v>0.629</v>
      </c>
      <c r="F15" s="16">
        <v>8.4429999999999996</v>
      </c>
      <c r="G15" s="16">
        <v>0.66100000000000003</v>
      </c>
      <c r="H15" s="16">
        <v>8.1189999999999998</v>
      </c>
      <c r="I15" s="16">
        <v>0.72699999999999998</v>
      </c>
      <c r="J15" s="16">
        <v>8.9220000000000006</v>
      </c>
      <c r="K15" s="16">
        <v>0.77700000000000002</v>
      </c>
      <c r="L15" s="16">
        <v>8.4939999999999998</v>
      </c>
      <c r="M15" s="16">
        <v>0.98699999999999999</v>
      </c>
      <c r="N15" s="16">
        <v>9.7219999999999995</v>
      </c>
      <c r="O15" s="16">
        <v>1.0660000000000001</v>
      </c>
      <c r="P15">
        <v>8.8219999999999992</v>
      </c>
      <c r="Q15">
        <v>1.3109999999999999</v>
      </c>
      <c r="R15">
        <v>10.314</v>
      </c>
      <c r="S15">
        <v>1.421</v>
      </c>
      <c r="T15">
        <v>9.3710000000000004</v>
      </c>
      <c r="U15">
        <v>2.2269999999999999</v>
      </c>
      <c r="V15">
        <v>11.186</v>
      </c>
      <c r="W15">
        <v>2.4249999999999998</v>
      </c>
      <c r="Z15" s="12" t="s">
        <v>22</v>
      </c>
      <c r="AA15" s="14">
        <v>1.2840000000000001E-2</v>
      </c>
      <c r="AB15" s="14">
        <v>-1.227E-2</v>
      </c>
      <c r="AC15" s="13">
        <v>0.93940000000000001</v>
      </c>
      <c r="AD15" s="1"/>
    </row>
    <row r="16" spans="1:30" x14ac:dyDescent="0.2">
      <c r="A16" s="16" t="s">
        <v>23</v>
      </c>
      <c r="B16" s="16">
        <v>8.1630000000000003</v>
      </c>
      <c r="C16" s="16">
        <v>0.64500000000000002</v>
      </c>
      <c r="D16" s="16">
        <v>8.0399999999999991</v>
      </c>
      <c r="E16" s="16">
        <v>0.67200000000000004</v>
      </c>
      <c r="F16" s="16">
        <v>8.5449999999999999</v>
      </c>
      <c r="G16" s="16">
        <v>0.71199999999999997</v>
      </c>
      <c r="H16" s="16">
        <v>8.1790000000000003</v>
      </c>
      <c r="I16" s="16">
        <v>0.77700000000000002</v>
      </c>
      <c r="J16" s="16">
        <v>9.0519999999999996</v>
      </c>
      <c r="K16" s="16">
        <v>0.83899999999999997</v>
      </c>
      <c r="L16" s="16">
        <v>8.5719999999999992</v>
      </c>
      <c r="M16" s="16">
        <v>1.0529999999999999</v>
      </c>
      <c r="N16" s="16">
        <v>9.9090000000000007</v>
      </c>
      <c r="O16" s="16">
        <v>1.153</v>
      </c>
      <c r="P16">
        <v>8.9179999999999993</v>
      </c>
      <c r="Q16">
        <v>1.3979999999999999</v>
      </c>
      <c r="R16">
        <v>10.548</v>
      </c>
      <c r="S16">
        <v>1.538</v>
      </c>
      <c r="T16">
        <v>9.4930000000000003</v>
      </c>
      <c r="U16">
        <v>2.3740000000000001</v>
      </c>
      <c r="V16">
        <v>11.471</v>
      </c>
      <c r="W16">
        <v>2.6259999999999999</v>
      </c>
      <c r="Z16" s="12" t="s">
        <v>23</v>
      </c>
      <c r="AA16" s="14">
        <v>1.3599999999999999E-2</v>
      </c>
      <c r="AB16" s="14">
        <v>-1.1849999999999999E-2</v>
      </c>
      <c r="AC16" s="13">
        <v>0.92700000000000005</v>
      </c>
    </row>
    <row r="17" spans="2:30" x14ac:dyDescent="0.2">
      <c r="B17" s="8"/>
      <c r="AD17" s="1"/>
    </row>
    <row r="18" spans="2:30" x14ac:dyDescent="0.2">
      <c r="B18" s="8"/>
      <c r="AD18" s="1"/>
    </row>
    <row r="19" spans="2:30" x14ac:dyDescent="0.2">
      <c r="B19" s="8"/>
      <c r="AD19" s="1"/>
    </row>
    <row r="20" spans="2:30" x14ac:dyDescent="0.2">
      <c r="B20" s="8"/>
      <c r="AD20" s="1"/>
    </row>
    <row r="21" spans="2:30" x14ac:dyDescent="0.2">
      <c r="B21" s="8"/>
      <c r="AD21" s="1"/>
    </row>
    <row r="22" spans="2:30" x14ac:dyDescent="0.2">
      <c r="B22" s="8"/>
      <c r="AD22" s="1"/>
    </row>
    <row r="23" spans="2:30" x14ac:dyDescent="0.2">
      <c r="B23" s="8"/>
      <c r="AD23" s="1"/>
    </row>
    <row r="24" spans="2:30" x14ac:dyDescent="0.2">
      <c r="B24" s="8"/>
      <c r="AD24" s="1"/>
    </row>
    <row r="25" spans="2:30" x14ac:dyDescent="0.2">
      <c r="B25" s="8"/>
      <c r="AD25" s="1"/>
    </row>
  </sheetData>
  <pageMargins left="0.75" right="0.75" top="1" bottom="1" header="0.5" footer="0.5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 enableFormatConditionsCalculation="0"/>
  <dimension ref="A1:U55"/>
  <sheetViews>
    <sheetView tabSelected="1" topLeftCell="A21" workbookViewId="0">
      <selection activeCell="B42" sqref="B42:L43"/>
    </sheetView>
  </sheetViews>
  <sheetFormatPr baseColWidth="10" defaultRowHeight="16" x14ac:dyDescent="0.2"/>
  <cols>
    <col min="1" max="1" width="12.1640625" style="1" bestFit="1" customWidth="1"/>
    <col min="2" max="12" width="13.83203125" style="1" bestFit="1" customWidth="1"/>
    <col min="13" max="13" width="10.83203125" style="1"/>
    <col min="14" max="14" width="12.1640625" style="1" bestFit="1" customWidth="1"/>
    <col min="15" max="16" width="11.33203125" style="1" bestFit="1" customWidth="1"/>
    <col min="17" max="17" width="8.83203125" style="1" bestFit="1" customWidth="1"/>
    <col min="18" max="18" width="10.83203125" style="1"/>
    <col min="19" max="19" width="9.33203125" style="1" bestFit="1" customWidth="1"/>
    <col min="20" max="20" width="7.1640625" style="1" bestFit="1" customWidth="1"/>
    <col min="21" max="16384" width="10.83203125" style="1"/>
  </cols>
  <sheetData>
    <row r="1" spans="1:21" ht="64" x14ac:dyDescent="0.2">
      <c r="A1" s="11" t="s">
        <v>30</v>
      </c>
      <c r="B1" s="1" t="s">
        <v>10</v>
      </c>
      <c r="C1" s="1" t="s">
        <v>8</v>
      </c>
      <c r="D1" s="1" t="s">
        <v>6</v>
      </c>
      <c r="E1" s="1" t="s">
        <v>4</v>
      </c>
      <c r="F1" s="1" t="s">
        <v>2</v>
      </c>
      <c r="G1" s="1" t="s">
        <v>1</v>
      </c>
      <c r="H1" s="1" t="s">
        <v>3</v>
      </c>
      <c r="I1" s="1" t="s">
        <v>5</v>
      </c>
      <c r="J1" s="1" t="s">
        <v>7</v>
      </c>
      <c r="K1" s="1" t="s">
        <v>9</v>
      </c>
      <c r="L1" s="1" t="s">
        <v>11</v>
      </c>
      <c r="N1" s="3" t="s">
        <v>27</v>
      </c>
      <c r="O1" s="3" t="s">
        <v>56</v>
      </c>
      <c r="P1" s="3" t="s">
        <v>25</v>
      </c>
      <c r="Q1" s="3" t="s">
        <v>57</v>
      </c>
      <c r="S1" s="10" t="s">
        <v>28</v>
      </c>
      <c r="T1" s="6">
        <v>0.97299999999999998</v>
      </c>
      <c r="U1" s="2"/>
    </row>
    <row r="2" spans="1:21" x14ac:dyDescent="0.2">
      <c r="A2" s="1" t="str">
        <f>Book1!A4</f>
        <v>1W</v>
      </c>
      <c r="B2" s="6">
        <f>Book1!T4+$O$17*Book1!U4</f>
        <v>7.3360000000000003</v>
      </c>
      <c r="C2" s="6">
        <f>Book1!P4+$O$17*Book1!Q4</f>
        <v>7.1669999999999998</v>
      </c>
      <c r="D2" s="6">
        <f>Book1!L4+$O$17*Book1!M4</f>
        <v>7.0739999999999998</v>
      </c>
      <c r="E2" s="6">
        <f>Book1!H4+$O$17*Book1!I4</f>
        <v>6.9710000000000001</v>
      </c>
      <c r="F2" s="6">
        <f>Book1!D4+$O$17*Book1!E4</f>
        <v>6.95</v>
      </c>
      <c r="G2" s="6">
        <f>Book1!B4+$O$17*Book1!C4</f>
        <v>7.0209999999999999</v>
      </c>
      <c r="H2" s="6">
        <f>Book1!F4+$O$17*Book1!G4</f>
        <v>7.2270000000000003</v>
      </c>
      <c r="I2" s="6">
        <f>Book1!J4+$O$17*Book1!K4</f>
        <v>7.4610000000000003</v>
      </c>
      <c r="J2" s="6">
        <f>Book1!N4+$O$17*Book1!O4</f>
        <v>7.8209999999999997</v>
      </c>
      <c r="K2" s="6">
        <f>Book1!R4+$O$17*Book1!S4</f>
        <v>8.0749999999999993</v>
      </c>
      <c r="L2" s="6">
        <f>Book1!V4+$O$17*Book1!W4</f>
        <v>8.4499999999999993</v>
      </c>
      <c r="N2" s="1">
        <f>1/52</f>
        <v>1.9230769230769232E-2</v>
      </c>
      <c r="O2" s="9">
        <f>Book1!AA4</f>
        <v>7.0699999999999999E-3</v>
      </c>
      <c r="P2" s="9">
        <f>Book1!AB4</f>
        <v>-1.298E-2</v>
      </c>
      <c r="Q2" s="5">
        <f>Book1!AC4</f>
        <v>0.9758</v>
      </c>
      <c r="S2" s="6">
        <f>Q2*EXP(-(P2-O2)*N2)</f>
        <v>0.97617631850674225</v>
      </c>
      <c r="T2" s="1">
        <f>$T$1*EXP((P2-O2)*N2)</f>
        <v>0.97262490597229379</v>
      </c>
    </row>
    <row r="3" spans="1:21" x14ac:dyDescent="0.2">
      <c r="A3" s="1" t="str">
        <f>Book1!A5</f>
        <v>2W</v>
      </c>
      <c r="B3" s="6">
        <f>Book1!T5+$O$17*Book1!U5</f>
        <v>7.3120000000000003</v>
      </c>
      <c r="C3" s="6">
        <f>Book1!P5+$O$17*Book1!Q5</f>
        <v>7.1310000000000002</v>
      </c>
      <c r="D3" s="6">
        <f>Book1!L5+$O$17*Book1!M5</f>
        <v>7.0309999999999997</v>
      </c>
      <c r="E3" s="6">
        <f>Book1!H5+$O$17*Book1!I5</f>
        <v>6.9240000000000004</v>
      </c>
      <c r="F3" s="6">
        <f>Book1!D5+$O$17*Book1!E5</f>
        <v>6.9029999999999996</v>
      </c>
      <c r="G3" s="6">
        <f>Book1!B5+$O$17*Book1!C5</f>
        <v>6.9950000000000001</v>
      </c>
      <c r="H3" s="6">
        <f>Book1!F5+$O$17*Book1!G5</f>
        <v>7.2380000000000004</v>
      </c>
      <c r="I3" s="6">
        <f>Book1!J5+$O$17*Book1!K5</f>
        <v>7.5119999999999996</v>
      </c>
      <c r="J3" s="6">
        <f>Book1!N5+$O$17*Book1!O5</f>
        <v>7.9160000000000004</v>
      </c>
      <c r="K3" s="6">
        <f>Book1!R5+$O$17*Book1!S5</f>
        <v>8.1969999999999992</v>
      </c>
      <c r="L3" s="6">
        <f>Book1!V5+$O$17*Book1!W5</f>
        <v>8.6210000000000004</v>
      </c>
      <c r="N3" s="1">
        <f>2/52</f>
        <v>3.8461538461538464E-2</v>
      </c>
      <c r="O3" s="9">
        <f>Book1!AA5</f>
        <v>5.8399999999999997E-3</v>
      </c>
      <c r="P3" s="9">
        <f>Book1!AB5</f>
        <v>-1.453E-2</v>
      </c>
      <c r="Q3" s="5">
        <f>Book1!AC5</f>
        <v>0.97540000000000004</v>
      </c>
      <c r="S3" s="6">
        <f t="shared" ref="S3:S11" si="0">Q3*EXP(-(P3-O3)*N3)</f>
        <v>0.97616448781891263</v>
      </c>
      <c r="T3" s="1">
        <f t="shared" ref="T3:T11" si="1">$T$1*EXP((P3-O3)*N3)</f>
        <v>0.97223799046463588</v>
      </c>
    </row>
    <row r="4" spans="1:21" x14ac:dyDescent="0.2">
      <c r="A4" s="1" t="str">
        <f>Book1!A6</f>
        <v>3W</v>
      </c>
      <c r="B4" s="6">
        <f>Book1!T6+$O$17*Book1!U6</f>
        <v>7.5919999999999996</v>
      </c>
      <c r="C4" s="6">
        <f>Book1!P6+$O$17*Book1!Q6</f>
        <v>7.4160000000000004</v>
      </c>
      <c r="D4" s="6">
        <f>Book1!L6+$O$17*Book1!M6</f>
        <v>7.32</v>
      </c>
      <c r="E4" s="6">
        <f>Book1!H6+$O$17*Book1!I6</f>
        <v>7.2190000000000003</v>
      </c>
      <c r="F4" s="6">
        <f>Book1!D6+$O$17*Book1!E6</f>
        <v>7.194</v>
      </c>
      <c r="G4" s="6">
        <f>Book1!B6+$O$17*Book1!C6</f>
        <v>7.2770000000000001</v>
      </c>
      <c r="H4" s="6">
        <f>Book1!F6+$O$17*Book1!G6</f>
        <v>7.5039999999999996</v>
      </c>
      <c r="I4" s="6">
        <f>Book1!J6+$O$17*Book1!K6</f>
        <v>7.7649999999999997</v>
      </c>
      <c r="J4" s="6">
        <f>Book1!N6+$O$17*Book1!O6</f>
        <v>8.14</v>
      </c>
      <c r="K4" s="6">
        <f>Book1!R6+$O$17*Book1!S6</f>
        <v>8.4049999999999994</v>
      </c>
      <c r="L4" s="6">
        <f>Book1!V6+$O$17*Book1!W6</f>
        <v>8.8059999999999992</v>
      </c>
      <c r="N4" s="1">
        <f>3/52</f>
        <v>5.7692307692307696E-2</v>
      </c>
      <c r="O4" s="9">
        <f>Book1!AA6</f>
        <v>7.1199999999999996E-3</v>
      </c>
      <c r="P4" s="9">
        <f>Book1!AB6</f>
        <v>-1.332E-2</v>
      </c>
      <c r="Q4" s="5">
        <f>Book1!AC6</f>
        <v>0.97499999999999998</v>
      </c>
      <c r="S4" s="6">
        <f t="shared" si="0"/>
        <v>0.97615042817683784</v>
      </c>
      <c r="T4" s="1">
        <f t="shared" si="1"/>
        <v>0.97185328471539578</v>
      </c>
    </row>
    <row r="5" spans="1:21" x14ac:dyDescent="0.2">
      <c r="A5" s="1" t="str">
        <f>Book1!A7</f>
        <v>1M</v>
      </c>
      <c r="B5" s="6">
        <f>Book1!T7+$O$17*Book1!U7</f>
        <v>8.0299999999999994</v>
      </c>
      <c r="C5" s="6">
        <f>Book1!P7+$O$17*Book1!Q7</f>
        <v>7.798</v>
      </c>
      <c r="D5" s="6">
        <f>Book1!L7+$O$17*Book1!M7</f>
        <v>7.6630000000000003</v>
      </c>
      <c r="E5" s="6">
        <f>Book1!H7+$O$17*Book1!I7</f>
        <v>7.5170000000000003</v>
      </c>
      <c r="F5" s="6">
        <f>Book1!D7+$O$17*Book1!E7</f>
        <v>7.4720000000000004</v>
      </c>
      <c r="G5" s="6">
        <f>Book1!B7+$O$17*Book1!C7</f>
        <v>7.5439999999999996</v>
      </c>
      <c r="H5" s="6">
        <f>Book1!F7+$O$17*Book1!G7</f>
        <v>7.7770000000000001</v>
      </c>
      <c r="I5" s="6">
        <f>Book1!J7+$O$17*Book1!K7</f>
        <v>8.0519999999999996</v>
      </c>
      <c r="J5" s="6">
        <f>Book1!N7+$O$17*Book1!O7</f>
        <v>8.4860000000000007</v>
      </c>
      <c r="K5" s="6">
        <f>Book1!R7+$O$17*Book1!S7</f>
        <v>8.7919999999999998</v>
      </c>
      <c r="L5" s="6">
        <f>Book1!V7+$O$17*Book1!W7</f>
        <v>9.2520000000000007</v>
      </c>
      <c r="N5" s="1">
        <f>1/12</f>
        <v>8.3333333333333329E-2</v>
      </c>
      <c r="O5" s="9">
        <f>Book1!AA7</f>
        <v>8.6700000000000006E-3</v>
      </c>
      <c r="P5" s="9">
        <f>Book1!AB7</f>
        <v>-1.225E-2</v>
      </c>
      <c r="Q5" s="5">
        <f>Book1!AC7</f>
        <v>0.97430000000000005</v>
      </c>
      <c r="S5" s="6">
        <f t="shared" si="0"/>
        <v>0.97600001107909951</v>
      </c>
      <c r="T5" s="1">
        <f t="shared" si="1"/>
        <v>0.9713052143840295</v>
      </c>
    </row>
    <row r="6" spans="1:21" x14ac:dyDescent="0.2">
      <c r="A6" s="1" t="str">
        <f>Book1!A8</f>
        <v>2M</v>
      </c>
      <c r="B6" s="6">
        <f>Book1!T8+$O$17*Book1!U8</f>
        <v>7.7430000000000003</v>
      </c>
      <c r="C6" s="6">
        <f>Book1!P8+$O$17*Book1!Q8</f>
        <v>7.4720000000000004</v>
      </c>
      <c r="D6" s="6">
        <f>Book1!L8+$O$17*Book1!M8</f>
        <v>7.3129999999999997</v>
      </c>
      <c r="E6" s="6">
        <f>Book1!H8+$O$17*Book1!I8</f>
        <v>7.1390000000000002</v>
      </c>
      <c r="F6" s="6">
        <f>Book1!D8+$O$17*Book1!E8</f>
        <v>7.077</v>
      </c>
      <c r="G6" s="6">
        <f>Book1!B8+$O$17*Book1!C8</f>
        <v>7.1520000000000001</v>
      </c>
      <c r="H6" s="6">
        <f>Book1!F8+$O$17*Book1!G8</f>
        <v>7.4029999999999996</v>
      </c>
      <c r="I6" s="6">
        <f>Book1!J8+$O$17*Book1!K8</f>
        <v>7.7119999999999997</v>
      </c>
      <c r="J6" s="6">
        <f>Book1!N8+$O$17*Book1!O8</f>
        <v>8.1880000000000006</v>
      </c>
      <c r="K6" s="6">
        <f>Book1!R8+$O$17*Book1!S8</f>
        <v>8.5250000000000004</v>
      </c>
      <c r="L6" s="6">
        <f>Book1!V8+$O$17*Book1!W8</f>
        <v>9.0380000000000003</v>
      </c>
      <c r="N6" s="1">
        <f>2/12</f>
        <v>0.16666666666666666</v>
      </c>
      <c r="O6" s="9">
        <f>Book1!AA8</f>
        <v>1.0019999999999999E-2</v>
      </c>
      <c r="P6" s="9">
        <f>Book1!AB8</f>
        <v>-1.2749999999999999E-2</v>
      </c>
      <c r="Q6" s="5">
        <f>Book1!AC8</f>
        <v>0.97230000000000005</v>
      </c>
      <c r="S6" s="6">
        <f t="shared" si="0"/>
        <v>0.97599688890981695</v>
      </c>
      <c r="T6" s="1">
        <f t="shared" si="1"/>
        <v>0.96931446273023492</v>
      </c>
    </row>
    <row r="7" spans="1:21" x14ac:dyDescent="0.2">
      <c r="A7" s="1" t="str">
        <f>Book1!A9</f>
        <v>3M</v>
      </c>
      <c r="B7" s="6">
        <f>Book1!T9+$O$17*Book1!U9</f>
        <v>7.968</v>
      </c>
      <c r="C7" s="6">
        <f>Book1!P9+$O$17*Book1!Q9</f>
        <v>7.625</v>
      </c>
      <c r="D7" s="6">
        <f>Book1!L9+$O$17*Book1!M9</f>
        <v>7.4130000000000003</v>
      </c>
      <c r="E7" s="6">
        <f>Book1!H9+$O$17*Book1!I9</f>
        <v>7.1779999999999999</v>
      </c>
      <c r="F7" s="6">
        <f>Book1!D9+$O$17*Book1!E9</f>
        <v>7.101</v>
      </c>
      <c r="G7" s="6">
        <f>Book1!B9+$O$17*Book1!C9</f>
        <v>7.1790000000000003</v>
      </c>
      <c r="H7" s="6">
        <f>Book1!F9+$O$17*Book1!G9</f>
        <v>7.4580000000000002</v>
      </c>
      <c r="I7" s="6">
        <f>Book1!J9+$O$17*Book1!K9</f>
        <v>7.806</v>
      </c>
      <c r="J7" s="6">
        <f>Book1!N9+$O$17*Book1!O9</f>
        <v>8.3559999999999999</v>
      </c>
      <c r="K7" s="6">
        <f>Book1!R9+$O$17*Book1!S9</f>
        <v>8.7449999999999992</v>
      </c>
      <c r="L7" s="6">
        <f>Book1!V9+$O$17*Book1!W9</f>
        <v>9.343</v>
      </c>
      <c r="N7" s="1">
        <f>3/12</f>
        <v>0.25</v>
      </c>
      <c r="O7" s="9">
        <f>Book1!AA9</f>
        <v>1.023E-2</v>
      </c>
      <c r="P7" s="9">
        <f>Book1!AB9</f>
        <v>-1.247E-2</v>
      </c>
      <c r="Q7" s="5">
        <f>Book1!AC9</f>
        <v>0.97030000000000005</v>
      </c>
      <c r="S7" s="6">
        <f t="shared" si="0"/>
        <v>0.97582210665740698</v>
      </c>
      <c r="T7" s="1">
        <f t="shared" si="1"/>
        <v>0.96749386343986221</v>
      </c>
    </row>
    <row r="8" spans="1:21" x14ac:dyDescent="0.2">
      <c r="A8" s="1" t="str">
        <f>Book1!A10</f>
        <v>4M</v>
      </c>
      <c r="B8" s="6">
        <f>Book1!T10+$O$17*Book1!U10</f>
        <v>8.1750000000000007</v>
      </c>
      <c r="C8" s="6">
        <f>Book1!P10+$O$17*Book1!Q10</f>
        <v>7.8120000000000003</v>
      </c>
      <c r="D8" s="6">
        <f>Book1!L10+$O$17*Book1!M10</f>
        <v>7.5919999999999996</v>
      </c>
      <c r="E8" s="6">
        <f>Book1!H10+$O$17*Book1!I10</f>
        <v>7.3449999999999998</v>
      </c>
      <c r="F8" s="6">
        <f>Book1!D10+$O$17*Book1!E10</f>
        <v>7.2560000000000002</v>
      </c>
      <c r="G8" s="6">
        <f>Book1!B10+$O$17*Book1!C10</f>
        <v>7.3339999999999996</v>
      </c>
      <c r="H8" s="6">
        <f>Book1!F10+$O$17*Book1!G10</f>
        <v>7.6210000000000004</v>
      </c>
      <c r="I8" s="6">
        <f>Book1!J10+$O$17*Book1!K10</f>
        <v>7.9779999999999998</v>
      </c>
      <c r="J8" s="6">
        <f>Book1!N10+$O$17*Book1!O10</f>
        <v>8.5470000000000006</v>
      </c>
      <c r="K8" s="6">
        <f>Book1!R10+$O$17*Book1!S10</f>
        <v>8.952</v>
      </c>
      <c r="L8" s="6">
        <f>Book1!V10+$O$17*Book1!W10</f>
        <v>9.5739999999999998</v>
      </c>
      <c r="N8" s="1">
        <f>4/12</f>
        <v>0.33333333333333331</v>
      </c>
      <c r="O8" s="9">
        <f>Book1!AA10</f>
        <v>1.065E-2</v>
      </c>
      <c r="P8" s="9">
        <f>Book1!AB10</f>
        <v>-1.1939999999999999E-2</v>
      </c>
      <c r="Q8" s="5">
        <f>Book1!AC10</f>
        <v>0.96860000000000002</v>
      </c>
      <c r="S8" s="6">
        <f t="shared" si="0"/>
        <v>0.97592108730103444</v>
      </c>
      <c r="T8" s="1">
        <f t="shared" si="1"/>
        <v>0.96570082587967565</v>
      </c>
    </row>
    <row r="9" spans="1:21" x14ac:dyDescent="0.2">
      <c r="A9" s="1" t="str">
        <f>Book1!A11</f>
        <v>5M</v>
      </c>
      <c r="B9" s="6">
        <f>Book1!T11+$O$17*Book1!U11</f>
        <v>8.3940000000000001</v>
      </c>
      <c r="C9" s="6">
        <f>Book1!P11+$O$17*Book1!Q11</f>
        <v>7.9870000000000001</v>
      </c>
      <c r="D9" s="6">
        <f>Book1!L11+$O$17*Book1!M11</f>
        <v>7.734</v>
      </c>
      <c r="E9" s="6">
        <f>Book1!H11+$O$17*Book1!I11</f>
        <v>7.4580000000000002</v>
      </c>
      <c r="F9" s="6">
        <f>Book1!D11+$O$17*Book1!E11</f>
        <v>7.3609999999999998</v>
      </c>
      <c r="G9" s="6">
        <f>Book1!B11+$O$17*Book1!C11</f>
        <v>7.4359999999999999</v>
      </c>
      <c r="H9" s="6">
        <f>Book1!F11+$O$17*Book1!G11</f>
        <v>7.734</v>
      </c>
      <c r="I9" s="6">
        <f>Book1!J11+$O$17*Book1!K11</f>
        <v>8.1110000000000007</v>
      </c>
      <c r="J9" s="6">
        <f>Book1!N11+$O$17*Book1!O11</f>
        <v>8.7309999999999999</v>
      </c>
      <c r="K9" s="6">
        <f>Book1!R11+$O$17*Book1!S11</f>
        <v>9.1999999999999993</v>
      </c>
      <c r="L9" s="6">
        <f>Book1!V11+$O$17*Book1!W11</f>
        <v>9.86</v>
      </c>
      <c r="N9" s="1">
        <f>5/12</f>
        <v>0.41666666666666669</v>
      </c>
      <c r="O9" s="9">
        <f>Book1!AA11</f>
        <v>1.094E-2</v>
      </c>
      <c r="P9" s="9">
        <f>Book1!AB11</f>
        <v>-1.2330000000000001E-2</v>
      </c>
      <c r="Q9" s="5">
        <f>Book1!AC11</f>
        <v>0.96650000000000003</v>
      </c>
      <c r="S9" s="6">
        <f t="shared" si="0"/>
        <v>0.97591660003847824</v>
      </c>
      <c r="T9" s="1">
        <f t="shared" si="1"/>
        <v>0.96361154217780676</v>
      </c>
    </row>
    <row r="10" spans="1:21" x14ac:dyDescent="0.2">
      <c r="A10" s="1" t="str">
        <f>Book1!A12</f>
        <v>6M</v>
      </c>
      <c r="B10" s="6">
        <f>Book1!T12+$O$17*Book1!U12</f>
        <v>8.5289999999999999</v>
      </c>
      <c r="C10" s="6">
        <f>Book1!P12+$O$17*Book1!Q12</f>
        <v>8.0939999999999994</v>
      </c>
      <c r="D10" s="6">
        <f>Book1!L12+$O$17*Book1!M12</f>
        <v>7.827</v>
      </c>
      <c r="E10" s="6">
        <f>Book1!H12+$O$17*Book1!I12</f>
        <v>7.5259999999999998</v>
      </c>
      <c r="F10" s="6">
        <f>Book1!D12+$O$17*Book1!E12</f>
        <v>7.4219999999999997</v>
      </c>
      <c r="G10" s="6">
        <f>Book1!B12+$O$17*Book1!C12</f>
        <v>7.4989999999999997</v>
      </c>
      <c r="H10" s="6">
        <f>Book1!F12+$O$17*Book1!G12</f>
        <v>7.8049999999999997</v>
      </c>
      <c r="I10" s="6">
        <f>Book1!J12+$O$17*Book1!K12</f>
        <v>8.2010000000000005</v>
      </c>
      <c r="J10" s="6">
        <f>Book1!N12+$O$17*Book1!O12</f>
        <v>8.8550000000000004</v>
      </c>
      <c r="K10" s="6">
        <f>Book1!R12+$O$17*Book1!S12</f>
        <v>9.3239999999999998</v>
      </c>
      <c r="L10" s="6">
        <f>Book1!V12+$O$17*Book1!W12</f>
        <v>10.035</v>
      </c>
      <c r="N10" s="1">
        <f>6/12</f>
        <v>0.5</v>
      </c>
      <c r="O10" s="9">
        <f>Book1!AA12</f>
        <v>1.116E-2</v>
      </c>
      <c r="P10" s="9">
        <f>Book1!AB12</f>
        <v>-1.2200000000000001E-2</v>
      </c>
      <c r="Q10" s="5">
        <f>Book1!AC12</f>
        <v>0.96450000000000002</v>
      </c>
      <c r="S10" s="6">
        <f t="shared" si="0"/>
        <v>0.97583140659332424</v>
      </c>
      <c r="T10" s="1">
        <f t="shared" si="1"/>
        <v>0.96170147185178745</v>
      </c>
    </row>
    <row r="11" spans="1:21" x14ac:dyDescent="0.2">
      <c r="A11" s="1" t="str">
        <f>Book1!A13</f>
        <v>9M</v>
      </c>
      <c r="B11" s="6">
        <f>Book1!T13+$O$17*Book1!U13</f>
        <v>8.9120000000000008</v>
      </c>
      <c r="C11" s="6">
        <f>Book1!P13+$O$17*Book1!Q13</f>
        <v>8.4109999999999996</v>
      </c>
      <c r="D11" s="6">
        <f>Book1!L13+$O$17*Book1!M13</f>
        <v>8.11</v>
      </c>
      <c r="E11" s="6">
        <f>Book1!H13+$O$17*Book1!I13</f>
        <v>7.7690000000000001</v>
      </c>
      <c r="F11" s="6">
        <f>Book1!D13+$O$17*Book1!E13</f>
        <v>7.6459999999999999</v>
      </c>
      <c r="G11" s="6">
        <f>Book1!B13+$O$17*Book1!C13</f>
        <v>7.726</v>
      </c>
      <c r="H11" s="6">
        <f>Book1!F13+$O$17*Book1!G13</f>
        <v>8.0559999999999992</v>
      </c>
      <c r="I11" s="6">
        <f>Book1!J13+$O$17*Book1!K13</f>
        <v>8.4969999999999999</v>
      </c>
      <c r="J11" s="6">
        <f>Book1!N13+$O$17*Book1!O13</f>
        <v>9.2319999999999993</v>
      </c>
      <c r="K11" s="6">
        <f>Book1!R13+$O$17*Book1!S13</f>
        <v>9.7710000000000008</v>
      </c>
      <c r="L11" s="6">
        <f>Book1!V13+$O$17*Book1!W13</f>
        <v>10.571</v>
      </c>
      <c r="N11" s="1">
        <f>9/12</f>
        <v>0.75</v>
      </c>
      <c r="O11" s="9">
        <f>Book1!AA13</f>
        <v>1.166E-2</v>
      </c>
      <c r="P11" s="9">
        <f>Book1!AB13</f>
        <v>-1.242E-2</v>
      </c>
      <c r="Q11" s="5">
        <f>Book1!AC13</f>
        <v>0.95820000000000005</v>
      </c>
      <c r="S11" s="6">
        <f t="shared" si="0"/>
        <v>0.97566230195866099</v>
      </c>
      <c r="T11" s="1">
        <f t="shared" si="1"/>
        <v>0.95558534764367997</v>
      </c>
    </row>
    <row r="12" spans="1:21" x14ac:dyDescent="0.2">
      <c r="A12" s="1" t="str">
        <f>Book1!A14</f>
        <v>1Y</v>
      </c>
      <c r="B12" s="6">
        <f>Book1!T14+$O$17*Book1!U14</f>
        <v>9.2569999999999997</v>
      </c>
      <c r="C12" s="6">
        <f>Book1!P14+$O$17*Book1!Q14</f>
        <v>8.702</v>
      </c>
      <c r="D12" s="6">
        <f>Book1!L14+$O$17*Book1!M14</f>
        <v>8.3580000000000005</v>
      </c>
      <c r="E12" s="6">
        <f>Book1!H14+$O$17*Book1!I14</f>
        <v>7.9740000000000002</v>
      </c>
      <c r="F12" s="6">
        <f>Book1!D14+$O$17*Book1!E14</f>
        <v>7.8280000000000003</v>
      </c>
      <c r="G12" s="6">
        <f>Book1!B14+$O$17*Book1!C14</f>
        <v>7.9080000000000004</v>
      </c>
      <c r="H12" s="6">
        <f>Book1!F14+$O$17*Book1!G14</f>
        <v>8.2430000000000003</v>
      </c>
      <c r="I12" s="6">
        <f>Book1!J14+$O$17*Book1!K14</f>
        <v>8.7070000000000007</v>
      </c>
      <c r="J12" s="6">
        <f>Book1!N14+$O$17*Book1!O14</f>
        <v>9.4979999999999993</v>
      </c>
      <c r="K12" s="6">
        <f>Book1!R14+$O$17*Book1!S14</f>
        <v>10.084</v>
      </c>
      <c r="L12" s="6">
        <f>Book1!V14+$O$17*Book1!W14</f>
        <v>10.935</v>
      </c>
      <c r="N12" s="1">
        <v>1</v>
      </c>
      <c r="O12" s="9">
        <f>Book1!AA14</f>
        <v>1.197E-2</v>
      </c>
      <c r="P12" s="9">
        <f>Book1!AB14</f>
        <v>-1.2370000000000001E-2</v>
      </c>
      <c r="Q12" s="5">
        <f>Book1!AC14</f>
        <v>0.95209999999999995</v>
      </c>
      <c r="S12" s="6">
        <f t="shared" ref="S12" si="2">Q12*EXP(-(P12-O12)*N12)</f>
        <v>0.97555844515412504</v>
      </c>
      <c r="T12" s="1">
        <f t="shared" ref="T12" si="3">$T$1*EXP((P12-O12)*N12)</f>
        <v>0.94960307565544411</v>
      </c>
    </row>
    <row r="13" spans="1:21" x14ac:dyDescent="0.2">
      <c r="A13" s="1" t="str">
        <f>Book1!A15</f>
        <v>18M</v>
      </c>
      <c r="B13" s="6">
        <f>Book1!T15+$O$17*Book1!U15</f>
        <v>9.3710000000000004</v>
      </c>
      <c r="C13" s="6">
        <f>Book1!P15+$O$17*Book1!Q15</f>
        <v>8.8219999999999992</v>
      </c>
      <c r="D13" s="6">
        <f>Book1!L15+$O$17*Book1!M15</f>
        <v>8.4939999999999998</v>
      </c>
      <c r="E13" s="6">
        <f>Book1!H15+$O$17*Book1!I15</f>
        <v>8.1189999999999998</v>
      </c>
      <c r="F13" s="6">
        <f>Book1!D15+$O$17*Book1!E15</f>
        <v>7.9779999999999998</v>
      </c>
      <c r="G13" s="6">
        <f>Book1!B15+$O$17*Book1!C15</f>
        <v>8.0749999999999993</v>
      </c>
      <c r="H13" s="6">
        <f>Book1!F15+$O$17*Book1!G15</f>
        <v>8.4429999999999996</v>
      </c>
      <c r="I13" s="6">
        <f>Book1!J15+$O$17*Book1!K15</f>
        <v>8.9220000000000006</v>
      </c>
      <c r="J13" s="6">
        <f>Book1!N15+$O$17*Book1!O15</f>
        <v>9.7219999999999995</v>
      </c>
      <c r="K13" s="6">
        <f>Book1!R15+$O$17*Book1!S15</f>
        <v>10.314</v>
      </c>
      <c r="L13" s="6">
        <f>Book1!V15+$O$17*Book1!W15</f>
        <v>11.186</v>
      </c>
      <c r="N13" s="1">
        <v>1.5</v>
      </c>
      <c r="O13" s="9">
        <f>Book1!AA15</f>
        <v>1.2840000000000001E-2</v>
      </c>
      <c r="P13" s="9">
        <f>Book1!AB15</f>
        <v>-1.227E-2</v>
      </c>
      <c r="Q13" s="5">
        <f>Book1!AC15</f>
        <v>0.93940000000000001</v>
      </c>
      <c r="S13" s="6">
        <f t="shared" ref="S13:S14" si="4">Q13*EXP(-(P13-O13)*N13)</f>
        <v>0.97545728723337799</v>
      </c>
      <c r="T13" s="1">
        <f t="shared" ref="T13:T14" si="5">$T$1*EXP((P13-O13)*N13)</f>
        <v>0.93703354515133896</v>
      </c>
    </row>
    <row r="14" spans="1:21" x14ac:dyDescent="0.2">
      <c r="A14" s="1" t="str">
        <f>Book1!A16</f>
        <v>2Y</v>
      </c>
      <c r="B14" s="6">
        <f>Book1!T16+$O$17*Book1!U16</f>
        <v>9.4930000000000003</v>
      </c>
      <c r="C14" s="6">
        <f>Book1!P16+$O$17*Book1!Q16</f>
        <v>8.9179999999999993</v>
      </c>
      <c r="D14" s="6">
        <f>Book1!L16+$O$17*Book1!M16</f>
        <v>8.5719999999999992</v>
      </c>
      <c r="E14" s="6">
        <f>Book1!H16+$O$17*Book1!I16</f>
        <v>8.1790000000000003</v>
      </c>
      <c r="F14" s="6">
        <f>Book1!D16+$O$17*Book1!E16</f>
        <v>8.0399999999999991</v>
      </c>
      <c r="G14" s="6">
        <f>Book1!B16+$O$17*Book1!C16</f>
        <v>8.1630000000000003</v>
      </c>
      <c r="H14" s="6">
        <f>Book1!F16+$O$17*Book1!G16</f>
        <v>8.5449999999999999</v>
      </c>
      <c r="I14" s="6">
        <f>Book1!J16+$O$17*Book1!K16</f>
        <v>9.0519999999999996</v>
      </c>
      <c r="J14" s="6">
        <f>Book1!N16+$O$17*Book1!O16</f>
        <v>9.9090000000000007</v>
      </c>
      <c r="K14" s="6">
        <f>Book1!R16+$O$17*Book1!S16</f>
        <v>10.548</v>
      </c>
      <c r="L14" s="6">
        <f>Book1!V16+$O$17*Book1!W16</f>
        <v>11.471</v>
      </c>
      <c r="N14" s="1">
        <v>2</v>
      </c>
      <c r="O14" s="9">
        <f>Book1!AA16</f>
        <v>1.3599999999999999E-2</v>
      </c>
      <c r="P14" s="9">
        <f>Book1!AB16</f>
        <v>-1.1849999999999999E-2</v>
      </c>
      <c r="Q14" s="5">
        <f>Book1!AC16</f>
        <v>0.92700000000000005</v>
      </c>
      <c r="S14" s="6">
        <f t="shared" si="4"/>
        <v>0.97540577661867678</v>
      </c>
      <c r="T14" s="1">
        <f t="shared" si="5"/>
        <v>0.92471361316595402</v>
      </c>
    </row>
    <row r="15" spans="1:21" x14ac:dyDescent="0.2">
      <c r="B15" s="1">
        <v>1</v>
      </c>
      <c r="C15" s="1">
        <v>1</v>
      </c>
      <c r="D15" s="1">
        <v>1</v>
      </c>
      <c r="E15" s="1">
        <v>1</v>
      </c>
      <c r="F15" s="1">
        <v>1</v>
      </c>
      <c r="G15" s="1">
        <v>1</v>
      </c>
      <c r="H15" s="1">
        <v>-1</v>
      </c>
      <c r="I15" s="1">
        <v>-1</v>
      </c>
      <c r="J15" s="1">
        <v>-1</v>
      </c>
      <c r="K15" s="1">
        <v>-1</v>
      </c>
      <c r="L15" s="1">
        <v>-1</v>
      </c>
      <c r="O15" s="1" t="s">
        <v>59</v>
      </c>
      <c r="P15" s="1" t="s">
        <v>58</v>
      </c>
    </row>
    <row r="16" spans="1:21" x14ac:dyDescent="0.2">
      <c r="A16" s="7" t="s">
        <v>29</v>
      </c>
      <c r="B16" s="1">
        <v>0.05</v>
      </c>
      <c r="C16" s="1">
        <v>0.1</v>
      </c>
      <c r="D16" s="1">
        <v>0.15</v>
      </c>
      <c r="E16" s="1">
        <v>0.25</v>
      </c>
      <c r="F16" s="1">
        <v>0.35</v>
      </c>
      <c r="G16" s="1">
        <v>0.5</v>
      </c>
      <c r="H16" s="1">
        <v>-0.35</v>
      </c>
      <c r="I16" s="1">
        <v>-0.25</v>
      </c>
      <c r="J16" s="1">
        <v>-0.15</v>
      </c>
      <c r="K16" s="1">
        <v>-0.1</v>
      </c>
      <c r="L16" s="1">
        <v>-0.05</v>
      </c>
    </row>
    <row r="17" spans="1:17" x14ac:dyDescent="0.2">
      <c r="A17" s="1" t="str">
        <f>A2</f>
        <v>1W</v>
      </c>
      <c r="B17" s="5">
        <f>strike(B$16,$T2,B2/100,$N2,$O2,B$15)</f>
        <v>0.98908903255065617</v>
      </c>
      <c r="C17" s="5">
        <f t="shared" ref="C17:L17" si="6">strike(C$16,$T2,C2/100,$N2,$O2,C$15)</f>
        <v>0.9851420090933819</v>
      </c>
      <c r="D17" s="5">
        <f t="shared" si="6"/>
        <v>0.98261242040622043</v>
      </c>
      <c r="E17" s="5">
        <f t="shared" si="6"/>
        <v>0.97903420719820156</v>
      </c>
      <c r="F17" s="5">
        <f t="shared" si="6"/>
        <v>0.9762901962024455</v>
      </c>
      <c r="G17" s="5">
        <f t="shared" si="6"/>
        <v>0.97267262168030033</v>
      </c>
      <c r="H17" s="5">
        <f t="shared" si="6"/>
        <v>0.96892357526984352</v>
      </c>
      <c r="I17" s="5">
        <f t="shared" si="6"/>
        <v>0.96591156777051423</v>
      </c>
      <c r="J17" s="5">
        <f t="shared" si="6"/>
        <v>0.96180857856298063</v>
      </c>
      <c r="K17" s="5">
        <f t="shared" si="6"/>
        <v>0.95882589311641819</v>
      </c>
      <c r="L17" s="5">
        <f t="shared" si="6"/>
        <v>0.95412236253652383</v>
      </c>
      <c r="N17" s="1" t="s">
        <v>61</v>
      </c>
      <c r="O17" s="1">
        <v>0</v>
      </c>
    </row>
    <row r="18" spans="1:17" x14ac:dyDescent="0.2">
      <c r="A18" s="1" t="str">
        <f>A3</f>
        <v>2W</v>
      </c>
      <c r="B18" s="5">
        <f t="shared" ref="B18:L18" si="7">strike(B$16,$T3,B3/100,$N3,$O3,B$15)</f>
        <v>0.99554688619604126</v>
      </c>
      <c r="C18" s="5">
        <f t="shared" si="7"/>
        <v>0.9899186352611139</v>
      </c>
      <c r="D18" s="5">
        <f t="shared" si="7"/>
        <v>0.98632802626082372</v>
      </c>
      <c r="E18" s="5">
        <f t="shared" si="7"/>
        <v>0.98127639379382336</v>
      </c>
      <c r="F18" s="5">
        <f t="shared" si="7"/>
        <v>0.97741522312006324</v>
      </c>
      <c r="G18" s="5">
        <f t="shared" si="7"/>
        <v>0.97233323329132582</v>
      </c>
      <c r="H18" s="5">
        <f t="shared" si="7"/>
        <v>0.96702928117007625</v>
      </c>
      <c r="I18" s="5">
        <f t="shared" si="7"/>
        <v>0.96272691031617674</v>
      </c>
      <c r="J18" s="5">
        <f t="shared" si="7"/>
        <v>0.95683285200823165</v>
      </c>
      <c r="K18" s="5">
        <f t="shared" si="7"/>
        <v>0.95253420320723525</v>
      </c>
      <c r="L18" s="5">
        <f t="shared" si="7"/>
        <v>0.945706136309856</v>
      </c>
    </row>
    <row r="19" spans="1:17" x14ac:dyDescent="0.2">
      <c r="A19" s="1" t="str">
        <f>A4</f>
        <v>3W</v>
      </c>
      <c r="B19" s="5">
        <f t="shared" ref="B19:L19" si="8">strike(B$16,$T4,B4/100,$N4,$O4,B$15)</f>
        <v>1.001615325936245</v>
      </c>
      <c r="C19" s="5">
        <f t="shared" si="8"/>
        <v>0.99445565068298614</v>
      </c>
      <c r="D19" s="5">
        <f t="shared" si="8"/>
        <v>0.98988295390007808</v>
      </c>
      <c r="E19" s="5">
        <f t="shared" si="8"/>
        <v>0.9834394623118996</v>
      </c>
      <c r="F19" s="5">
        <f t="shared" si="8"/>
        <v>0.97849821684960114</v>
      </c>
      <c r="G19" s="5">
        <f t="shared" si="8"/>
        <v>0.97201049533860739</v>
      </c>
      <c r="H19" s="5">
        <f t="shared" si="8"/>
        <v>0.96527715116369761</v>
      </c>
      <c r="I19" s="5">
        <f t="shared" si="8"/>
        <v>0.95986523501890053</v>
      </c>
      <c r="J19" s="5">
        <f t="shared" si="8"/>
        <v>0.9525349869872215</v>
      </c>
      <c r="K19" s="5">
        <f t="shared" si="8"/>
        <v>0.94722034510625608</v>
      </c>
      <c r="L19" s="5">
        <f t="shared" si="8"/>
        <v>0.93882912818835584</v>
      </c>
    </row>
    <row r="20" spans="1:17" x14ac:dyDescent="0.2">
      <c r="A20" s="1" t="str">
        <f>A5</f>
        <v>1M</v>
      </c>
      <c r="B20" s="5">
        <f t="shared" ref="B20:L20" si="9">strike(B$16,$T5,B5/100,$N5,$O5,B$15)</f>
        <v>1.0093342700575763</v>
      </c>
      <c r="C20" s="5">
        <f t="shared" si="9"/>
        <v>0.99999696885053391</v>
      </c>
      <c r="D20" s="5">
        <f t="shared" si="9"/>
        <v>0.9940851112360527</v>
      </c>
      <c r="E20" s="5">
        <f t="shared" si="9"/>
        <v>0.98587024790195121</v>
      </c>
      <c r="F20" s="5">
        <f t="shared" si="9"/>
        <v>0.9796539405202459</v>
      </c>
      <c r="G20" s="5">
        <f t="shared" si="9"/>
        <v>0.97155472231840845</v>
      </c>
      <c r="H20" s="5">
        <f t="shared" si="9"/>
        <v>0.9631670700484628</v>
      </c>
      <c r="I20" s="5">
        <f t="shared" si="9"/>
        <v>0.95644162932464094</v>
      </c>
      <c r="J20" s="5">
        <f t="shared" si="9"/>
        <v>0.9472281045815949</v>
      </c>
      <c r="K20" s="5">
        <f t="shared" si="9"/>
        <v>0.94051368122476009</v>
      </c>
      <c r="L20" s="5">
        <f t="shared" si="9"/>
        <v>0.92988129751020909</v>
      </c>
    </row>
    <row r="21" spans="1:17" x14ac:dyDescent="0.2">
      <c r="A21" s="1" t="str">
        <f>A6</f>
        <v>2M</v>
      </c>
      <c r="B21" s="5">
        <f t="shared" ref="B21:L21" si="10">strike(B$16,$T6,B6/100,$N6,$O6,B$15)</f>
        <v>1.0215835521932415</v>
      </c>
      <c r="C21" s="5">
        <f t="shared" si="10"/>
        <v>1.0084564852708793</v>
      </c>
      <c r="D21" s="5">
        <f t="shared" si="10"/>
        <v>1.0002544922725198</v>
      </c>
      <c r="E21" s="5">
        <f t="shared" si="10"/>
        <v>0.98901546518865446</v>
      </c>
      <c r="F21" s="5">
        <f t="shared" si="10"/>
        <v>0.98061957520966903</v>
      </c>
      <c r="G21" s="5">
        <f t="shared" si="10"/>
        <v>0.96978694465119786</v>
      </c>
      <c r="H21" s="5">
        <f t="shared" si="10"/>
        <v>0.9584838607868883</v>
      </c>
      <c r="I21" s="5">
        <f t="shared" si="10"/>
        <v>0.94937858578737233</v>
      </c>
      <c r="J21" s="5">
        <f t="shared" si="10"/>
        <v>0.93679701954919936</v>
      </c>
      <c r="K21" s="5">
        <f t="shared" si="10"/>
        <v>0.92756191701531299</v>
      </c>
      <c r="L21" s="5">
        <f t="shared" si="10"/>
        <v>0.91282936836489825</v>
      </c>
    </row>
    <row r="22" spans="1:17" x14ac:dyDescent="0.2">
      <c r="A22" s="1" t="str">
        <f>A7</f>
        <v>3M</v>
      </c>
      <c r="B22" s="5">
        <f t="shared" ref="B22:L22" si="11">strike(B$16,$T7,B7/100,$N7,$O7,B$15)</f>
        <v>1.033889359781049</v>
      </c>
      <c r="C22" s="5">
        <f t="shared" si="11"/>
        <v>1.0167337201821478</v>
      </c>
      <c r="D22" s="5">
        <f t="shared" si="11"/>
        <v>1.0061358198805543</v>
      </c>
      <c r="E22" s="5">
        <f t="shared" si="11"/>
        <v>0.99191035347379375</v>
      </c>
      <c r="F22" s="5">
        <f t="shared" si="11"/>
        <v>0.98152346564058313</v>
      </c>
      <c r="G22" s="5">
        <f t="shared" si="11"/>
        <v>0.96822860052502679</v>
      </c>
      <c r="H22" s="5">
        <f t="shared" si="11"/>
        <v>0.95426910302592938</v>
      </c>
      <c r="I22" s="5">
        <f t="shared" si="11"/>
        <v>0.94300061552198911</v>
      </c>
      <c r="J22" s="5">
        <f t="shared" si="11"/>
        <v>0.92723864130280687</v>
      </c>
      <c r="K22" s="5">
        <f t="shared" si="11"/>
        <v>0.91558708295977342</v>
      </c>
      <c r="L22" s="5">
        <f t="shared" si="11"/>
        <v>0.89686287974953516</v>
      </c>
    </row>
    <row r="23" spans="1:17" x14ac:dyDescent="0.2">
      <c r="A23" s="1" t="str">
        <f>A8</f>
        <v>4M</v>
      </c>
      <c r="B23" s="5">
        <f t="shared" ref="B23:L23" si="12">strike(B$16,$T8,B8/100,$N8,$O8,B$15)</f>
        <v>1.0449074132770426</v>
      </c>
      <c r="C23" s="5">
        <f t="shared" si="12"/>
        <v>1.0242989501657451</v>
      </c>
      <c r="D23" s="5">
        <f t="shared" si="12"/>
        <v>1.011656299730348</v>
      </c>
      <c r="E23" s="5">
        <f t="shared" si="12"/>
        <v>0.99473287644906427</v>
      </c>
      <c r="F23" s="5">
        <f t="shared" si="12"/>
        <v>0.98241516661036976</v>
      </c>
      <c r="G23" s="5">
        <f t="shared" si="12"/>
        <v>0.96674871637942439</v>
      </c>
      <c r="H23" s="5">
        <f t="shared" si="12"/>
        <v>0.95024571375793465</v>
      </c>
      <c r="I23" s="5">
        <f t="shared" si="12"/>
        <v>0.9370331689666016</v>
      </c>
      <c r="J23" s="5">
        <f t="shared" si="12"/>
        <v>0.91856713640193122</v>
      </c>
      <c r="K23" s="5">
        <f t="shared" si="12"/>
        <v>0.90492222799631616</v>
      </c>
      <c r="L23" s="5">
        <f t="shared" si="12"/>
        <v>0.88303650839629488</v>
      </c>
    </row>
    <row r="24" spans="1:17" x14ac:dyDescent="0.2">
      <c r="A24" s="1" t="str">
        <f>A9</f>
        <v>5M</v>
      </c>
      <c r="B24" s="5">
        <f t="shared" ref="B24:L24" si="13">strike(B$16,$T9,B9/100,$N9,$O9,B$15)</f>
        <v>1.0551086189354959</v>
      </c>
      <c r="C24" s="5">
        <f t="shared" si="13"/>
        <v>1.0309361757367921</v>
      </c>
      <c r="D24" s="5">
        <f t="shared" si="13"/>
        <v>1.0161967796241562</v>
      </c>
      <c r="E24" s="5">
        <f t="shared" si="13"/>
        <v>0.9967402710881168</v>
      </c>
      <c r="F24" s="5">
        <f t="shared" si="13"/>
        <v>0.98272563929892198</v>
      </c>
      <c r="G24" s="5">
        <f t="shared" si="13"/>
        <v>0.96498620609439434</v>
      </c>
      <c r="H24" s="5">
        <f t="shared" si="13"/>
        <v>0.94622786222627908</v>
      </c>
      <c r="I24" s="5">
        <f t="shared" si="13"/>
        <v>0.93127769567661001</v>
      </c>
      <c r="J24" s="5">
        <f t="shared" si="13"/>
        <v>0.91023202916167034</v>
      </c>
      <c r="K24" s="5">
        <f t="shared" si="13"/>
        <v>0.89443437603617792</v>
      </c>
      <c r="L24" s="5">
        <f t="shared" si="13"/>
        <v>0.86947073434170308</v>
      </c>
    </row>
    <row r="25" spans="1:17" x14ac:dyDescent="0.2">
      <c r="A25" s="1" t="str">
        <f>A10</f>
        <v>6M</v>
      </c>
      <c r="B25" s="5">
        <f t="shared" ref="B25:L25" si="14">strike(B$16,$T10,B10/100,$N10,$O10,B$15)</f>
        <v>1.0641008361536624</v>
      </c>
      <c r="C25" s="5">
        <f t="shared" si="14"/>
        <v>1.036775885466223</v>
      </c>
      <c r="D25" s="5">
        <f t="shared" si="14"/>
        <v>1.0202426689193325</v>
      </c>
      <c r="E25" s="5">
        <f t="shared" si="14"/>
        <v>0.99849349040551183</v>
      </c>
      <c r="F25" s="5">
        <f t="shared" si="14"/>
        <v>0.98297102751249377</v>
      </c>
      <c r="G25" s="5">
        <f t="shared" si="14"/>
        <v>0.96341066472103121</v>
      </c>
      <c r="H25" s="5">
        <f t="shared" si="14"/>
        <v>0.94262716601504248</v>
      </c>
      <c r="I25" s="5">
        <f t="shared" si="14"/>
        <v>0.92613287010990231</v>
      </c>
      <c r="J25" s="5">
        <f t="shared" si="14"/>
        <v>0.90283899279116964</v>
      </c>
      <c r="K25" s="5">
        <f t="shared" si="14"/>
        <v>0.88551954247061304</v>
      </c>
      <c r="L25" s="5">
        <f t="shared" si="14"/>
        <v>0.8577511058911701</v>
      </c>
    </row>
    <row r="26" spans="1:17" x14ac:dyDescent="0.2">
      <c r="A26" s="1" t="str">
        <f>A11</f>
        <v>9M</v>
      </c>
      <c r="B26" s="5">
        <f t="shared" ref="B26:L26" si="15">strike(B$16,$T11,B11/100,$N11,$O11,B$15)</f>
        <v>1.0885257088566471</v>
      </c>
      <c r="C26" s="5">
        <f t="shared" si="15"/>
        <v>1.0522537387968125</v>
      </c>
      <c r="D26" s="5">
        <f t="shared" si="15"/>
        <v>1.0306847318221244</v>
      </c>
      <c r="E26" s="5">
        <f t="shared" si="15"/>
        <v>1.0026784152293935</v>
      </c>
      <c r="F26" s="5">
        <f t="shared" si="15"/>
        <v>0.98296796924439389</v>
      </c>
      <c r="G26" s="5">
        <f t="shared" si="15"/>
        <v>0.95842628638051774</v>
      </c>
      <c r="H26" s="5">
        <f t="shared" si="15"/>
        <v>0.93196962948538042</v>
      </c>
      <c r="I26" s="5">
        <f t="shared" si="15"/>
        <v>0.91131917838515197</v>
      </c>
      <c r="J26" s="5">
        <f t="shared" si="15"/>
        <v>0.88201289807730487</v>
      </c>
      <c r="K26" s="5">
        <f t="shared" si="15"/>
        <v>0.86009176779910701</v>
      </c>
      <c r="L26" s="5">
        <f t="shared" si="15"/>
        <v>0.82513290328592526</v>
      </c>
      <c r="Q26" s="6"/>
    </row>
    <row r="27" spans="1:17" x14ac:dyDescent="0.2">
      <c r="A27" s="1" t="str">
        <f>A12</f>
        <v>1Y</v>
      </c>
      <c r="B27" s="5">
        <f t="shared" ref="B27:L27" si="16">strike(B$16,$T12,B12/100,$N12,$O12,B$15)</f>
        <v>1.111126141879196</v>
      </c>
      <c r="C27" s="5">
        <f t="shared" si="16"/>
        <v>1.0662930902081815</v>
      </c>
      <c r="D27" s="5">
        <f t="shared" si="16"/>
        <v>1.0398215009487977</v>
      </c>
      <c r="E27" s="5">
        <f t="shared" si="16"/>
        <v>1.0060187018887803</v>
      </c>
      <c r="F27" s="5">
        <f t="shared" si="16"/>
        <v>0.98255164536748518</v>
      </c>
      <c r="G27" s="5">
        <f t="shared" si="16"/>
        <v>0.95370104139187573</v>
      </c>
      <c r="H27" s="5">
        <f t="shared" si="16"/>
        <v>0.92218941913892027</v>
      </c>
      <c r="I27" s="5">
        <f t="shared" si="16"/>
        <v>0.8981069922912015</v>
      </c>
      <c r="J27" s="5">
        <f t="shared" si="16"/>
        <v>0.86383715601299693</v>
      </c>
      <c r="K27" s="5">
        <f t="shared" si="16"/>
        <v>0.83816090705730562</v>
      </c>
      <c r="L27" s="5">
        <f t="shared" si="16"/>
        <v>0.7975338307762605</v>
      </c>
      <c r="Q27" s="6"/>
    </row>
    <row r="28" spans="1:17" x14ac:dyDescent="0.2">
      <c r="A28" s="1" t="str">
        <f t="shared" ref="A28:A29" si="17">A13</f>
        <v>18M</v>
      </c>
      <c r="B28" s="5">
        <f t="shared" ref="B28:L28" si="18">strike(B$16,$T13,B13/100,$N13,$O13,B$15)</f>
        <v>1.1404247368905829</v>
      </c>
      <c r="C28" s="5">
        <f t="shared" si="18"/>
        <v>1.0837761347501109</v>
      </c>
      <c r="D28" s="5">
        <f t="shared" si="18"/>
        <v>1.0507243509982522</v>
      </c>
      <c r="E28" s="5">
        <f t="shared" si="18"/>
        <v>1.0085128868394013</v>
      </c>
      <c r="F28" s="5">
        <f t="shared" si="18"/>
        <v>0.97937040288474564</v>
      </c>
      <c r="G28" s="5">
        <f t="shared" si="18"/>
        <v>0.94385652871012904</v>
      </c>
      <c r="H28" s="5">
        <f t="shared" si="18"/>
        <v>0.90356744643014064</v>
      </c>
      <c r="I28" s="5">
        <f t="shared" si="18"/>
        <v>0.87422544902902255</v>
      </c>
      <c r="J28" s="5">
        <f t="shared" si="18"/>
        <v>0.83291318720830398</v>
      </c>
      <c r="K28" s="5">
        <f t="shared" si="18"/>
        <v>0.80225694170503958</v>
      </c>
      <c r="L28" s="5">
        <f t="shared" si="18"/>
        <v>0.75406757162744686</v>
      </c>
      <c r="Q28" s="6"/>
    </row>
    <row r="29" spans="1:17" x14ac:dyDescent="0.2">
      <c r="A29" s="1" t="str">
        <f t="shared" si="17"/>
        <v>2Y</v>
      </c>
      <c r="B29" s="5">
        <f t="shared" ref="B29:L29" si="19">strike(B$16,$T14,B14/100,$N14,$O14,B$15)</f>
        <v>1.1657092380205827</v>
      </c>
      <c r="C29" s="5">
        <f t="shared" si="19"/>
        <v>1.097745104592619</v>
      </c>
      <c r="D29" s="5">
        <f t="shared" si="19"/>
        <v>1.0584775247237661</v>
      </c>
      <c r="E29" s="5">
        <f t="shared" si="19"/>
        <v>1.0089348548917487</v>
      </c>
      <c r="F29" s="5">
        <f t="shared" si="19"/>
        <v>0.97521478639003167</v>
      </c>
      <c r="G29" s="5">
        <f t="shared" si="19"/>
        <v>0.93451779994642659</v>
      </c>
      <c r="H29" s="5">
        <f t="shared" si="19"/>
        <v>0.88637704490250668</v>
      </c>
      <c r="I29" s="5">
        <f t="shared" si="19"/>
        <v>0.852873600978726</v>
      </c>
      <c r="J29" s="5">
        <f t="shared" si="19"/>
        <v>0.80562772301768693</v>
      </c>
      <c r="K29" s="5">
        <f t="shared" si="19"/>
        <v>0.77057418337622863</v>
      </c>
      <c r="L29" s="5">
        <f t="shared" si="19"/>
        <v>0.7159953693184733</v>
      </c>
      <c r="Q29" s="6"/>
    </row>
    <row r="30" spans="1:17" x14ac:dyDescent="0.2">
      <c r="A30" s="7" t="s">
        <v>31</v>
      </c>
      <c r="B30" s="1">
        <f>B15</f>
        <v>1</v>
      </c>
      <c r="C30" s="1">
        <f t="shared" ref="C30:L30" si="20">C15</f>
        <v>1</v>
      </c>
      <c r="D30" s="1">
        <f t="shared" si="20"/>
        <v>1</v>
      </c>
      <c r="E30" s="1">
        <f t="shared" si="20"/>
        <v>1</v>
      </c>
      <c r="F30" s="1">
        <f t="shared" si="20"/>
        <v>1</v>
      </c>
      <c r="G30" s="1">
        <f t="shared" si="20"/>
        <v>1</v>
      </c>
      <c r="H30" s="1">
        <f t="shared" si="20"/>
        <v>-1</v>
      </c>
      <c r="I30" s="1">
        <f t="shared" si="20"/>
        <v>-1</v>
      </c>
      <c r="J30" s="1">
        <f t="shared" si="20"/>
        <v>-1</v>
      </c>
      <c r="K30" s="1">
        <f t="shared" si="20"/>
        <v>-1</v>
      </c>
      <c r="L30" s="1">
        <f t="shared" si="20"/>
        <v>-1</v>
      </c>
      <c r="Q30" s="6"/>
    </row>
    <row r="31" spans="1:17" x14ac:dyDescent="0.2">
      <c r="A31" s="1" t="str">
        <f>A17</f>
        <v>1W</v>
      </c>
      <c r="B31" s="5">
        <f>_xludf.price($T$1,B17,$T2,$N2,B2/100,$P2,$O2,B$30)</f>
        <v>2.0596455197750829E-4</v>
      </c>
      <c r="C31" s="5">
        <f t="shared" ref="C31:L31" si="21">_xludf.price($T$1,C17,$T2,$N2,C2/100,$P2,$O2,C$30)</f>
        <v>4.5581234904240597E-4</v>
      </c>
      <c r="D31" s="5">
        <f t="shared" si="21"/>
        <v>7.3812258469665992E-4</v>
      </c>
      <c r="E31" s="5">
        <f t="shared" si="21"/>
        <v>1.3957446923138217E-3</v>
      </c>
      <c r="F31" s="5">
        <f t="shared" si="21"/>
        <v>2.1964127382756438E-3</v>
      </c>
      <c r="G31" s="5">
        <f t="shared" si="21"/>
        <v>3.7551250360313704E-3</v>
      </c>
      <c r="H31" s="5">
        <f t="shared" si="21"/>
        <v>2.3087992129434132E-3</v>
      </c>
      <c r="I31" s="5">
        <f t="shared" si="21"/>
        <v>1.5089030812921456E-3</v>
      </c>
      <c r="J31" s="5">
        <f t="shared" si="21"/>
        <v>8.2363964076800911E-4</v>
      </c>
      <c r="K31" s="5">
        <f t="shared" si="21"/>
        <v>5.1808931029985461E-4</v>
      </c>
      <c r="L31" s="5">
        <f t="shared" si="21"/>
        <v>2.3919262847781758E-4</v>
      </c>
    </row>
    <row r="32" spans="1:17" x14ac:dyDescent="0.2">
      <c r="A32" s="1" t="str">
        <f>A18</f>
        <v>2W</v>
      </c>
      <c r="B32" s="5">
        <f t="shared" ref="B32:L32" si="22">_xludf.price($T$1,B18,$T3,$N3,B3/100,$P3,$O3,B$30)</f>
        <v>2.8981890682928946E-4</v>
      </c>
      <c r="C32" s="5">
        <f t="shared" si="22"/>
        <v>6.4018042513348805E-4</v>
      </c>
      <c r="D32" s="5">
        <f t="shared" si="22"/>
        <v>1.035475529828217E-3</v>
      </c>
      <c r="E32" s="5">
        <f t="shared" si="22"/>
        <v>1.9563504849715585E-3</v>
      </c>
      <c r="F32" s="5">
        <f t="shared" si="22"/>
        <v>3.0779519302756575E-3</v>
      </c>
      <c r="G32" s="5">
        <f t="shared" si="22"/>
        <v>5.2765639638343576E-3</v>
      </c>
      <c r="H32" s="5">
        <f t="shared" si="22"/>
        <v>3.2769605093144194E-3</v>
      </c>
      <c r="I32" s="5">
        <f t="shared" si="22"/>
        <v>2.1528014234432069E-3</v>
      </c>
      <c r="J32" s="5">
        <f t="shared" si="22"/>
        <v>1.1811963569764994E-3</v>
      </c>
      <c r="K32" s="5">
        <f t="shared" si="22"/>
        <v>7.4512820065521235E-4</v>
      </c>
      <c r="L32" s="5">
        <f t="shared" si="22"/>
        <v>3.4572235233572279E-4</v>
      </c>
    </row>
    <row r="33" spans="1:12" x14ac:dyDescent="0.2">
      <c r="A33" s="1" t="str">
        <f>A19</f>
        <v>3W</v>
      </c>
      <c r="B33" s="5">
        <f t="shared" ref="B33:L33" si="23">_xludf.price($T$1,B19,$T4,$N4,B4/100,$P4,$O4,B$30)</f>
        <v>3.6786463869540459E-4</v>
      </c>
      <c r="C33" s="5">
        <f t="shared" si="23"/>
        <v>8.1377158363492297E-4</v>
      </c>
      <c r="D33" s="5">
        <f t="shared" si="23"/>
        <v>1.3175462363263502E-3</v>
      </c>
      <c r="E33" s="5">
        <f t="shared" si="23"/>
        <v>2.4923667674125183E-3</v>
      </c>
      <c r="F33" s="5">
        <f t="shared" si="23"/>
        <v>3.9188376907931533E-3</v>
      </c>
      <c r="G33" s="5">
        <f t="shared" si="23"/>
        <v>6.7040565177738376E-3</v>
      </c>
      <c r="H33" s="5">
        <f t="shared" si="23"/>
        <v>4.1679027263707424E-3</v>
      </c>
      <c r="I33" s="5">
        <f t="shared" si="23"/>
        <v>2.7296411503218987E-3</v>
      </c>
      <c r="J33" s="5">
        <f t="shared" si="23"/>
        <v>1.4896757710584074E-3</v>
      </c>
      <c r="K33" s="5">
        <f t="shared" si="23"/>
        <v>9.3697386520173731E-4</v>
      </c>
      <c r="L33" s="5">
        <f t="shared" si="23"/>
        <v>4.3302514383743856E-4</v>
      </c>
    </row>
    <row r="34" spans="1:12" x14ac:dyDescent="0.2">
      <c r="A34" s="1" t="str">
        <f>A20</f>
        <v>1M</v>
      </c>
      <c r="B34" s="5">
        <f t="shared" ref="B34:L34" si="24">_xludf.price($T$1,B20,$T5,$N5,B5/100,$P5,$O5,B$30)</f>
        <v>4.6645221429554573E-4</v>
      </c>
      <c r="C34" s="5">
        <f t="shared" si="24"/>
        <v>1.0257148159107665E-3</v>
      </c>
      <c r="D34" s="5">
        <f t="shared" si="24"/>
        <v>1.6532006974274982E-3</v>
      </c>
      <c r="E34" s="5">
        <f t="shared" si="24"/>
        <v>3.1101054215287305E-3</v>
      </c>
      <c r="F34" s="5">
        <f t="shared" si="24"/>
        <v>4.876765747223677E-3</v>
      </c>
      <c r="G34" s="5">
        <f t="shared" si="24"/>
        <v>8.3239682750727573E-3</v>
      </c>
      <c r="H34" s="5">
        <f t="shared" si="24"/>
        <v>5.2002921456187345E-3</v>
      </c>
      <c r="I34" s="5">
        <f t="shared" si="24"/>
        <v>3.4073043953422588E-3</v>
      </c>
      <c r="J34" s="5">
        <f t="shared" si="24"/>
        <v>1.8693244410269705E-3</v>
      </c>
      <c r="K34" s="5">
        <f t="shared" si="24"/>
        <v>1.179703870182694E-3</v>
      </c>
      <c r="L34" s="5">
        <f t="shared" si="24"/>
        <v>5.4756729713249103E-4</v>
      </c>
    </row>
    <row r="35" spans="1:12" x14ac:dyDescent="0.2">
      <c r="A35" s="1" t="str">
        <f>A21</f>
        <v>2M</v>
      </c>
      <c r="B35" s="5">
        <f t="shared" ref="B35:L35" si="25">_xludf.price($T$1,B21,$T6,$N6,B6/100,$P6,$O6,B$30)</f>
        <v>6.3280449920039006E-4</v>
      </c>
      <c r="C35" s="5">
        <f t="shared" si="25"/>
        <v>1.3824850624274271E-3</v>
      </c>
      <c r="D35" s="5">
        <f t="shared" si="25"/>
        <v>2.2188500829958269E-3</v>
      </c>
      <c r="E35" s="5">
        <f t="shared" si="25"/>
        <v>4.152665525801319E-3</v>
      </c>
      <c r="F35" s="5">
        <f t="shared" si="25"/>
        <v>6.4914282625657127E-3</v>
      </c>
      <c r="G35" s="5">
        <f t="shared" si="25"/>
        <v>1.108205688268904E-2</v>
      </c>
      <c r="H35" s="5">
        <f t="shared" si="25"/>
        <v>7.0149443541963064E-3</v>
      </c>
      <c r="I35" s="5">
        <f t="shared" si="25"/>
        <v>4.6242811404398898E-3</v>
      </c>
      <c r="J35" s="5">
        <f t="shared" si="25"/>
        <v>2.5556562744271927E-3</v>
      </c>
      <c r="K35" s="5">
        <f t="shared" si="25"/>
        <v>1.6207042793104087E-3</v>
      </c>
      <c r="L35" s="5">
        <f t="shared" si="25"/>
        <v>7.5782960711096026E-4</v>
      </c>
    </row>
    <row r="36" spans="1:12" x14ac:dyDescent="0.2">
      <c r="A36" s="1" t="str">
        <f>A22</f>
        <v>3M</v>
      </c>
      <c r="B36" s="5">
        <f t="shared" ref="B36:L36" si="26">_xludf.price($T$1,B22,$T7,$N7,B7/100,$P7,$O7,B$30)</f>
        <v>7.9359929621784092E-4</v>
      </c>
      <c r="C36" s="5">
        <f t="shared" si="26"/>
        <v>1.7191043047116161E-3</v>
      </c>
      <c r="D36" s="5">
        <f t="shared" si="26"/>
        <v>2.7404760860441357E-3</v>
      </c>
      <c r="E36" s="5">
        <f t="shared" si="26"/>
        <v>5.0862577778723606E-3</v>
      </c>
      <c r="F36" s="5">
        <f t="shared" si="26"/>
        <v>7.9318180475366762E-3</v>
      </c>
      <c r="G36" s="5">
        <f t="shared" si="26"/>
        <v>1.3536926934717475E-2</v>
      </c>
      <c r="H36" s="5">
        <f t="shared" si="26"/>
        <v>8.6709589094867145E-3</v>
      </c>
      <c r="I36" s="5">
        <f t="shared" si="26"/>
        <v>5.7427345484201142E-3</v>
      </c>
      <c r="J36" s="5">
        <f t="shared" si="26"/>
        <v>3.1999727088692365E-3</v>
      </c>
      <c r="K36" s="5">
        <f t="shared" si="26"/>
        <v>2.0398332638674049E-3</v>
      </c>
      <c r="L36" s="5">
        <f t="shared" si="26"/>
        <v>9.6119958783768417E-4</v>
      </c>
    </row>
    <row r="37" spans="1:12" x14ac:dyDescent="0.2">
      <c r="A37" s="1" t="str">
        <f>A23</f>
        <v>4M</v>
      </c>
      <c r="B37" s="5">
        <f t="shared" ref="B37:L37" si="27">_xludf.price($T$1,B23,$T8,$N8,B8/100,$P8,$O8,B$30)</f>
        <v>9.3562059661470715E-4</v>
      </c>
      <c r="C37" s="5">
        <f t="shared" si="27"/>
        <v>2.0235077552684388E-3</v>
      </c>
      <c r="D37" s="5">
        <f t="shared" si="27"/>
        <v>3.2240224613721835E-3</v>
      </c>
      <c r="E37" s="5">
        <f t="shared" si="27"/>
        <v>5.9767301303121911E-3</v>
      </c>
      <c r="F37" s="5">
        <f t="shared" si="27"/>
        <v>9.3043327342472448E-3</v>
      </c>
      <c r="G37" s="5">
        <f t="shared" si="27"/>
        <v>1.5865022282389618E-2</v>
      </c>
      <c r="H37" s="5">
        <f t="shared" si="27"/>
        <v>1.024509471631474E-2</v>
      </c>
      <c r="I37" s="5">
        <f t="shared" si="27"/>
        <v>6.7858652707031286E-3</v>
      </c>
      <c r="J37" s="5">
        <f t="shared" si="27"/>
        <v>3.7840347583938394E-3</v>
      </c>
      <c r="K37" s="5">
        <f t="shared" si="27"/>
        <v>2.4139672677447599E-3</v>
      </c>
      <c r="L37" s="5">
        <f t="shared" si="27"/>
        <v>1.1385985151863356E-3</v>
      </c>
    </row>
    <row r="38" spans="1:12" x14ac:dyDescent="0.2">
      <c r="A38" s="1" t="str">
        <f>A24</f>
        <v>5M</v>
      </c>
      <c r="B38" s="5">
        <f t="shared" ref="B38:L38" si="28">_xludf.price($T$1,B24,$T9,$N9,B9/100,$P9,$O9,B$30)</f>
        <v>1.0689921731720439E-3</v>
      </c>
      <c r="C38" s="5">
        <f t="shared" si="28"/>
        <v>2.3018302719958611E-3</v>
      </c>
      <c r="D38" s="5">
        <f t="shared" si="28"/>
        <v>3.6539179800978427E-3</v>
      </c>
      <c r="E38" s="5">
        <f t="shared" si="28"/>
        <v>6.7501248092026456E-3</v>
      </c>
      <c r="F38" s="5">
        <f t="shared" si="28"/>
        <v>1.0495730408993986E-2</v>
      </c>
      <c r="G38" s="5">
        <f t="shared" si="28"/>
        <v>1.787590089070723E-2</v>
      </c>
      <c r="H38" s="5">
        <f t="shared" si="28"/>
        <v>1.1634517911307984E-2</v>
      </c>
      <c r="I38" s="5">
        <f t="shared" si="28"/>
        <v>7.7199888001476258E-3</v>
      </c>
      <c r="J38" s="5">
        <f t="shared" si="28"/>
        <v>4.3257659083529021E-3</v>
      </c>
      <c r="K38" s="5">
        <f t="shared" si="28"/>
        <v>2.7765280549982702E-3</v>
      </c>
      <c r="L38" s="5">
        <f t="shared" si="28"/>
        <v>1.3123413188897357E-3</v>
      </c>
    </row>
    <row r="39" spans="1:12" x14ac:dyDescent="0.2">
      <c r="A39" s="1" t="str">
        <f>A25</f>
        <v>6M</v>
      </c>
      <c r="B39" s="5">
        <f t="shared" ref="B39:L39" si="29">_xludf.price($T$1,B25,$T10,$N10,B10/100,$P10,$O10,B$30)</f>
        <v>1.1845676727756035E-3</v>
      </c>
      <c r="C39" s="5">
        <f t="shared" si="29"/>
        <v>2.5436813172923095E-3</v>
      </c>
      <c r="D39" s="5">
        <f t="shared" si="29"/>
        <v>4.03195238763146E-3</v>
      </c>
      <c r="E39" s="5">
        <f t="shared" si="29"/>
        <v>7.4256945517323647E-3</v>
      </c>
      <c r="F39" s="5">
        <f t="shared" si="29"/>
        <v>1.1533566264886941E-2</v>
      </c>
      <c r="G39" s="5">
        <f t="shared" si="29"/>
        <v>1.9636033997395053E-2</v>
      </c>
      <c r="H39" s="5">
        <f t="shared" si="29"/>
        <v>1.2868313516620322E-2</v>
      </c>
      <c r="I39" s="5">
        <f t="shared" si="29"/>
        <v>8.5549620276047511E-3</v>
      </c>
      <c r="J39" s="5">
        <f t="shared" si="29"/>
        <v>4.808623392315442E-3</v>
      </c>
      <c r="K39" s="5">
        <f t="shared" si="29"/>
        <v>3.0841279279795603E-3</v>
      </c>
      <c r="L39" s="5">
        <f t="shared" si="29"/>
        <v>1.463964716132006E-3</v>
      </c>
    </row>
    <row r="40" spans="1:12" x14ac:dyDescent="0.2">
      <c r="A40" s="1" t="str">
        <f>A26</f>
        <v>9M</v>
      </c>
      <c r="B40" s="5">
        <f t="shared" ref="B40:L40" si="30">_xludf.price($T$1,B26,$T11,$N11,B11/100,$P11,$O11,B$30)</f>
        <v>1.4963638403751797E-3</v>
      </c>
      <c r="C40" s="5">
        <f t="shared" si="30"/>
        <v>3.1946178517534424E-3</v>
      </c>
      <c r="D40" s="5">
        <f t="shared" si="30"/>
        <v>5.0476462119359855E-3</v>
      </c>
      <c r="E40" s="5">
        <f t="shared" si="30"/>
        <v>9.2560105228674805E-3</v>
      </c>
      <c r="F40" s="5">
        <f t="shared" si="30"/>
        <v>1.4336282582763982E-2</v>
      </c>
      <c r="G40" s="5">
        <f t="shared" si="30"/>
        <v>2.4371092602781641E-2</v>
      </c>
      <c r="H40" s="5">
        <f t="shared" si="30"/>
        <v>1.6276577445318963E-2</v>
      </c>
      <c r="I40" s="5">
        <f t="shared" si="30"/>
        <v>1.0862714376258131E-2</v>
      </c>
      <c r="J40" s="5">
        <f t="shared" si="30"/>
        <v>6.1451459830631772E-3</v>
      </c>
      <c r="K40" s="5">
        <f t="shared" si="30"/>
        <v>3.9621697836335346E-3</v>
      </c>
      <c r="L40" s="5">
        <f t="shared" si="30"/>
        <v>1.8907277480374463E-3</v>
      </c>
    </row>
    <row r="41" spans="1:12" x14ac:dyDescent="0.2">
      <c r="A41" s="1" t="str">
        <f>A27</f>
        <v>1Y</v>
      </c>
      <c r="B41" s="5">
        <f t="shared" ref="B41:L41" si="31">_xludf.price($T$1,B27,$T12,$N12,B12/100,$P12,$O12,B$30)</f>
        <v>1.7723515902135431E-3</v>
      </c>
      <c r="C41" s="5">
        <f t="shared" si="31"/>
        <v>3.7678701336526232E-3</v>
      </c>
      <c r="D41" s="5">
        <f t="shared" si="31"/>
        <v>5.9291556902530962E-3</v>
      </c>
      <c r="E41" s="5">
        <f t="shared" si="31"/>
        <v>1.0822895818486139E-2</v>
      </c>
      <c r="F41" s="5">
        <f t="shared" si="31"/>
        <v>1.6710316102102885E-2</v>
      </c>
      <c r="G41" s="5">
        <f t="shared" si="31"/>
        <v>2.8359363649375469E-2</v>
      </c>
      <c r="H41" s="5">
        <f t="shared" si="31"/>
        <v>1.9218908945284829E-2</v>
      </c>
      <c r="I41" s="5">
        <f t="shared" si="31"/>
        <v>1.2846009159421329E-2</v>
      </c>
      <c r="J41" s="5">
        <f t="shared" si="31"/>
        <v>7.297813230407818E-3</v>
      </c>
      <c r="K41" s="5">
        <f t="shared" si="31"/>
        <v>4.7208020266833323E-3</v>
      </c>
      <c r="L41" s="5">
        <f t="shared" si="31"/>
        <v>2.2581368005091876E-3</v>
      </c>
    </row>
    <row r="42" spans="1:12" x14ac:dyDescent="0.2">
      <c r="A42" s="1" t="str">
        <f t="shared" ref="A42:A43" si="32">A28</f>
        <v>18M</v>
      </c>
      <c r="B42" s="5">
        <f t="shared" ref="B42:L42" si="33">_xludf.price($T$1,B28,$T13,$N13,B13/100,$P13,$O13,B$30)</f>
        <v>2.1458702707176924E-3</v>
      </c>
      <c r="C42" s="5">
        <f t="shared" si="33"/>
        <v>4.5653600365601898E-3</v>
      </c>
      <c r="D42" s="5">
        <f t="shared" si="33"/>
        <v>7.196962775654292E-3</v>
      </c>
      <c r="E42" s="5">
        <f t="shared" si="33"/>
        <v>1.3145971222427139E-2</v>
      </c>
      <c r="F42" s="5">
        <f t="shared" si="33"/>
        <v>2.0289055409042689E-2</v>
      </c>
      <c r="G42" s="5">
        <f t="shared" si="33"/>
        <v>3.4405439253153536E-2</v>
      </c>
      <c r="H42" s="5">
        <f t="shared" si="33"/>
        <v>2.3972871213453761E-2</v>
      </c>
      <c r="I42" s="5">
        <f t="shared" si="33"/>
        <v>1.6033607804688516E-2</v>
      </c>
      <c r="J42" s="5">
        <f t="shared" si="33"/>
        <v>9.1008779360341741E-3</v>
      </c>
      <c r="K42" s="5">
        <f t="shared" si="33"/>
        <v>5.8833065011067442E-3</v>
      </c>
      <c r="L42" s="5">
        <f t="shared" si="33"/>
        <v>2.8148517184223079E-3</v>
      </c>
    </row>
    <row r="43" spans="1:12" x14ac:dyDescent="0.2">
      <c r="A43" s="1" t="str">
        <f t="shared" si="32"/>
        <v>2Y</v>
      </c>
      <c r="B43" s="5">
        <f t="shared" ref="B43:L43" si="34">_xludf.price($T$1,B29,$T14,$N14,B14/100,$P14,$O14,B$30)</f>
        <v>2.4503532255875579E-3</v>
      </c>
      <c r="C43" s="5">
        <f t="shared" si="34"/>
        <v>5.1994258794055281E-3</v>
      </c>
      <c r="D43" s="5">
        <f t="shared" si="34"/>
        <v>8.1790392018678826E-3</v>
      </c>
      <c r="E43" s="5">
        <f t="shared" si="34"/>
        <v>1.4898867808289057E-2</v>
      </c>
      <c r="F43" s="5">
        <f t="shared" si="34"/>
        <v>2.2974664834704672E-2</v>
      </c>
      <c r="G43" s="5">
        <f t="shared" si="34"/>
        <v>3.8978580685293085E-2</v>
      </c>
      <c r="H43" s="5">
        <f t="shared" si="34"/>
        <v>2.7759025858336339E-2</v>
      </c>
      <c r="I43" s="5">
        <f t="shared" si="34"/>
        <v>1.8620558447723562E-2</v>
      </c>
      <c r="J43" s="5">
        <f t="shared" si="34"/>
        <v>1.0624997891051646E-2</v>
      </c>
      <c r="K43" s="5">
        <f t="shared" si="34"/>
        <v>6.8946155234314993E-3</v>
      </c>
      <c r="L43" s="5">
        <f t="shared" si="34"/>
        <v>3.3087406253706556E-3</v>
      </c>
    </row>
    <row r="44" spans="1:12" x14ac:dyDescent="0.2">
      <c r="A44" s="7" t="s">
        <v>38</v>
      </c>
    </row>
    <row r="45" spans="1:12" x14ac:dyDescent="0.2">
      <c r="A45" s="1" t="str">
        <f>A31</f>
        <v>1W</v>
      </c>
      <c r="B45" s="4">
        <f>opt_delta($T$1,B17,$T2,$N2,B2/100,$P2,$O2,B$30)</f>
        <v>4.9986405694540978E-2</v>
      </c>
      <c r="C45" s="4">
        <f t="shared" ref="C45:L45" si="35">opt_delta($T$1,C17,$T2,$N2,C2/100,$P2,$O2,C$30)</f>
        <v>9.997281138908308E-2</v>
      </c>
      <c r="D45" s="4">
        <f t="shared" si="35"/>
        <v>0.14995921708362434</v>
      </c>
      <c r="E45" s="4">
        <f t="shared" si="35"/>
        <v>0.24993202847270382</v>
      </c>
      <c r="F45" s="4">
        <f t="shared" si="35"/>
        <v>0.349904839861782</v>
      </c>
      <c r="G45" s="4">
        <f t="shared" si="35"/>
        <v>0.49986405694540598</v>
      </c>
      <c r="H45" s="4">
        <f t="shared" si="35"/>
        <v>-0.34990483986178122</v>
      </c>
      <c r="I45" s="4">
        <f t="shared" si="35"/>
        <v>-0.2499320284727046</v>
      </c>
      <c r="J45" s="4">
        <f t="shared" si="35"/>
        <v>-0.14995921708362295</v>
      </c>
      <c r="K45" s="4">
        <f t="shared" si="35"/>
        <v>-9.9972811389080776E-2</v>
      </c>
      <c r="L45" s="4">
        <f t="shared" si="35"/>
        <v>-4.9986405694540097E-2</v>
      </c>
    </row>
    <row r="46" spans="1:12" x14ac:dyDescent="0.2">
      <c r="A46" s="1" t="str">
        <f t="shared" ref="A46:A55" si="36">A32</f>
        <v>2W</v>
      </c>
      <c r="B46" s="4">
        <f t="shared" ref="B46:L46" si="37">opt_delta($T$1,B18,$T3,$N3,B3/100,$P3,$O3,B$30)</f>
        <v>4.997754350599036E-2</v>
      </c>
      <c r="C46" s="4">
        <f t="shared" si="37"/>
        <v>9.9955087011979277E-2</v>
      </c>
      <c r="D46" s="4">
        <f t="shared" si="37"/>
        <v>0.14993263051796832</v>
      </c>
      <c r="E46" s="4">
        <f t="shared" si="37"/>
        <v>0.2498877175299464</v>
      </c>
      <c r="F46" s="4">
        <f t="shared" si="37"/>
        <v>0.34984280454192968</v>
      </c>
      <c r="G46" s="4">
        <f t="shared" si="37"/>
        <v>0.49977543505989952</v>
      </c>
      <c r="H46" s="4">
        <f t="shared" si="37"/>
        <v>-0.34984280454193079</v>
      </c>
      <c r="I46" s="4">
        <f t="shared" si="37"/>
        <v>-0.24988771752994851</v>
      </c>
      <c r="J46" s="4">
        <f t="shared" si="37"/>
        <v>-0.14993263051797026</v>
      </c>
      <c r="K46" s="4">
        <f t="shared" si="37"/>
        <v>-9.995508701197843E-2</v>
      </c>
      <c r="L46" s="4">
        <f t="shared" si="37"/>
        <v>-4.9977543505990638E-2</v>
      </c>
    </row>
    <row r="47" spans="1:12" x14ac:dyDescent="0.2">
      <c r="A47" s="1" t="str">
        <f t="shared" si="36"/>
        <v>3W</v>
      </c>
      <c r="B47" s="4">
        <f t="shared" ref="B47:L47" si="38">opt_delta($T$1,B19,$T4,$N4,B4/100,$P4,$O4,B$30)</f>
        <v>4.9958939945438596E-2</v>
      </c>
      <c r="C47" s="4">
        <f t="shared" si="38"/>
        <v>9.9917879890879122E-2</v>
      </c>
      <c r="D47" s="4">
        <f t="shared" si="38"/>
        <v>0.1498768198363169</v>
      </c>
      <c r="E47" s="4">
        <f t="shared" si="38"/>
        <v>0.24979469972719509</v>
      </c>
      <c r="F47" s="4">
        <f t="shared" si="38"/>
        <v>0.34971257961807772</v>
      </c>
      <c r="G47" s="4">
        <f t="shared" si="38"/>
        <v>0.49958939945439218</v>
      </c>
      <c r="H47" s="4">
        <f t="shared" si="38"/>
        <v>-0.34971257961807523</v>
      </c>
      <c r="I47" s="4">
        <f t="shared" si="38"/>
        <v>-0.24979469972719653</v>
      </c>
      <c r="J47" s="4">
        <f t="shared" si="38"/>
        <v>-0.14987681983631818</v>
      </c>
      <c r="K47" s="4">
        <f t="shared" si="38"/>
        <v>-9.9917879890879205E-2</v>
      </c>
      <c r="L47" s="4">
        <f t="shared" si="38"/>
        <v>-4.9958939945439873E-2</v>
      </c>
    </row>
    <row r="48" spans="1:12" x14ac:dyDescent="0.2">
      <c r="A48" s="1" t="str">
        <f t="shared" si="36"/>
        <v>1M</v>
      </c>
      <c r="B48" s="4">
        <f t="shared" ref="B48:L48" si="39">opt_delta($T$1,B20,$T5,$N5,B5/100,$P5,$O5,B$30)</f>
        <v>4.9927802175490359E-2</v>
      </c>
      <c r="C48" s="4">
        <f t="shared" si="39"/>
        <v>9.9855604350982452E-2</v>
      </c>
      <c r="D48" s="4">
        <f t="shared" si="39"/>
        <v>0.14978340652647204</v>
      </c>
      <c r="E48" s="4">
        <f t="shared" si="39"/>
        <v>0.24963901087745644</v>
      </c>
      <c r="F48" s="4">
        <f t="shared" si="39"/>
        <v>0.34949461522843422</v>
      </c>
      <c r="G48" s="4">
        <f t="shared" si="39"/>
        <v>0.49927802175490904</v>
      </c>
      <c r="H48" s="4">
        <f t="shared" si="39"/>
        <v>-0.349494615228437</v>
      </c>
      <c r="I48" s="4">
        <f t="shared" si="39"/>
        <v>-0.24963901087745194</v>
      </c>
      <c r="J48" s="4">
        <f t="shared" si="39"/>
        <v>-0.14978340652647321</v>
      </c>
      <c r="K48" s="4">
        <f t="shared" si="39"/>
        <v>-9.9855604350982133E-2</v>
      </c>
      <c r="L48" s="4">
        <f t="shared" si="39"/>
        <v>-4.992780217549074E-2</v>
      </c>
    </row>
    <row r="49" spans="1:12" x14ac:dyDescent="0.2">
      <c r="A49" s="1" t="str">
        <f t="shared" si="36"/>
        <v>2M</v>
      </c>
      <c r="B49" s="4">
        <f t="shared" ref="B49:L49" si="40">opt_delta($T$1,B21,$T6,$N6,B6/100,$P6,$O6,B$30)</f>
        <v>4.9833278579761421E-2</v>
      </c>
      <c r="C49" s="4">
        <f t="shared" si="40"/>
        <v>9.9666557159523314E-2</v>
      </c>
      <c r="D49" s="4">
        <f t="shared" si="40"/>
        <v>0.14949983573928391</v>
      </c>
      <c r="E49" s="4">
        <f t="shared" si="40"/>
        <v>0.24916639289880785</v>
      </c>
      <c r="F49" s="4">
        <f t="shared" si="40"/>
        <v>0.34883295005833054</v>
      </c>
      <c r="G49" s="4">
        <f t="shared" si="40"/>
        <v>0.49833278579761464</v>
      </c>
      <c r="H49" s="4">
        <f t="shared" si="40"/>
        <v>-0.3488329500583312</v>
      </c>
      <c r="I49" s="4">
        <f t="shared" si="40"/>
        <v>-0.24916639289880868</v>
      </c>
      <c r="J49" s="4">
        <f t="shared" si="40"/>
        <v>-0.14949983573928433</v>
      </c>
      <c r="K49" s="4">
        <f t="shared" si="40"/>
        <v>-9.966655715952305E-2</v>
      </c>
      <c r="L49" s="4">
        <f t="shared" si="40"/>
        <v>-4.9833278579761407E-2</v>
      </c>
    </row>
    <row r="50" spans="1:12" x14ac:dyDescent="0.2">
      <c r="A50" s="1" t="str">
        <f t="shared" si="36"/>
        <v>3M</v>
      </c>
      <c r="B50" s="4">
        <f t="shared" ref="B50:L50" si="41">opt_delta($T$1,B22,$T7,$N7,B7/100,$P7,$O7,B$30)</f>
        <v>4.9744902966842142E-2</v>
      </c>
      <c r="C50" s="4">
        <f t="shared" si="41"/>
        <v>9.9489805933684186E-2</v>
      </c>
      <c r="D50" s="4">
        <f t="shared" si="41"/>
        <v>0.14923470890052626</v>
      </c>
      <c r="E50" s="4">
        <f t="shared" si="41"/>
        <v>0.24872451483421149</v>
      </c>
      <c r="F50" s="4">
        <f t="shared" si="41"/>
        <v>0.34821432076789538</v>
      </c>
      <c r="G50" s="4">
        <f t="shared" si="41"/>
        <v>0.49744902966842025</v>
      </c>
      <c r="H50" s="4">
        <f t="shared" si="41"/>
        <v>-0.34821432076789405</v>
      </c>
      <c r="I50" s="4">
        <f t="shared" si="41"/>
        <v>-0.24872451483421165</v>
      </c>
      <c r="J50" s="4">
        <f t="shared" si="41"/>
        <v>-0.14923470890052684</v>
      </c>
      <c r="K50" s="4">
        <f t="shared" si="41"/>
        <v>-9.9489805933684339E-2</v>
      </c>
      <c r="L50" s="4">
        <f t="shared" si="41"/>
        <v>-4.9744902966842239E-2</v>
      </c>
    </row>
    <row r="51" spans="1:12" x14ac:dyDescent="0.2">
      <c r="A51" s="1" t="str">
        <f t="shared" si="36"/>
        <v>4M</v>
      </c>
      <c r="B51" s="4">
        <f t="shared" ref="B51:L51" si="42">opt_delta($T$1,B23,$T8,$N8,B8/100,$P8,$O8,B$30)</f>
        <v>4.9646257272695157E-2</v>
      </c>
      <c r="C51" s="4">
        <f t="shared" si="42"/>
        <v>9.9292514545389648E-2</v>
      </c>
      <c r="D51" s="4">
        <f t="shared" si="42"/>
        <v>0.14893877181808507</v>
      </c>
      <c r="E51" s="4">
        <f t="shared" si="42"/>
        <v>0.24823128636347508</v>
      </c>
      <c r="F51" s="4">
        <f t="shared" si="42"/>
        <v>0.34752380090886481</v>
      </c>
      <c r="G51" s="4">
        <f t="shared" si="42"/>
        <v>0.49646257272694999</v>
      </c>
      <c r="H51" s="4">
        <f t="shared" si="42"/>
        <v>-0.34752380090886342</v>
      </c>
      <c r="I51" s="4">
        <f t="shared" si="42"/>
        <v>-0.24823128636347436</v>
      </c>
      <c r="J51" s="4">
        <f t="shared" si="42"/>
        <v>-0.14893877181808435</v>
      </c>
      <c r="K51" s="4">
        <f t="shared" si="42"/>
        <v>-9.9292514545389329E-2</v>
      </c>
      <c r="L51" s="4">
        <f t="shared" si="42"/>
        <v>-4.9646257272694963E-2</v>
      </c>
    </row>
    <row r="52" spans="1:12" x14ac:dyDescent="0.2">
      <c r="A52" s="1" t="str">
        <f t="shared" si="36"/>
        <v>5M</v>
      </c>
      <c r="B52" s="4">
        <f t="shared" ref="B52:L52" si="43">opt_delta($T$1,B24,$T9,$N9,B9/100,$P9,$O9,B$30)</f>
        <v>4.9546238206983707E-2</v>
      </c>
      <c r="C52" s="4">
        <f t="shared" si="43"/>
        <v>9.9092476413967998E-2</v>
      </c>
      <c r="D52" s="4">
        <f t="shared" si="43"/>
        <v>0.1486387146209521</v>
      </c>
      <c r="E52" s="4">
        <f t="shared" si="43"/>
        <v>0.24773119103492025</v>
      </c>
      <c r="F52" s="4">
        <f t="shared" si="43"/>
        <v>0.3468236674488876</v>
      </c>
      <c r="G52" s="4">
        <f t="shared" si="43"/>
        <v>0.49546238206983861</v>
      </c>
      <c r="H52" s="4">
        <f t="shared" si="43"/>
        <v>-0.34682366744888771</v>
      </c>
      <c r="I52" s="4">
        <f t="shared" si="43"/>
        <v>-0.2477311910349187</v>
      </c>
      <c r="J52" s="4">
        <f t="shared" si="43"/>
        <v>-0.1486387146209516</v>
      </c>
      <c r="K52" s="4">
        <f t="shared" si="43"/>
        <v>-9.9092476413967623E-2</v>
      </c>
      <c r="L52" s="4">
        <f t="shared" si="43"/>
        <v>-4.9546238206984075E-2</v>
      </c>
    </row>
    <row r="53" spans="1:12" x14ac:dyDescent="0.2">
      <c r="A53" s="1" t="str">
        <f t="shared" si="36"/>
        <v>6M</v>
      </c>
      <c r="B53" s="4">
        <f t="shared" ref="B53:L53" si="44">opt_delta($T$1,B25,$T10,$N10,B10/100,$P10,$O10,B$30)</f>
        <v>4.9445102089503166E-2</v>
      </c>
      <c r="C53" s="4">
        <f t="shared" si="44"/>
        <v>9.8890204179005778E-2</v>
      </c>
      <c r="D53" s="4">
        <f t="shared" si="44"/>
        <v>0.14833530626850855</v>
      </c>
      <c r="E53" s="4">
        <f t="shared" si="44"/>
        <v>0.24722551044751512</v>
      </c>
      <c r="F53" s="4">
        <f t="shared" si="44"/>
        <v>0.34611571462652213</v>
      </c>
      <c r="G53" s="4">
        <f t="shared" si="44"/>
        <v>0.49445102089503085</v>
      </c>
      <c r="H53" s="4">
        <f t="shared" si="44"/>
        <v>-0.34611571462652241</v>
      </c>
      <c r="I53" s="4">
        <f t="shared" si="44"/>
        <v>-0.24722551044751534</v>
      </c>
      <c r="J53" s="4">
        <f t="shared" si="44"/>
        <v>-0.14833530626850908</v>
      </c>
      <c r="K53" s="4">
        <f t="shared" si="44"/>
        <v>-9.8890204179005903E-2</v>
      </c>
      <c r="L53" s="4">
        <f t="shared" si="44"/>
        <v>-4.9445102089503104E-2</v>
      </c>
    </row>
    <row r="54" spans="1:12" x14ac:dyDescent="0.2">
      <c r="A54" s="1" t="str">
        <f t="shared" si="36"/>
        <v>9M</v>
      </c>
      <c r="B54" s="4">
        <f t="shared" ref="B54:L54" si="45">opt_delta($T$1,B26,$T11,$N11,B11/100,$P11,$O11,B$30)</f>
        <v>4.913310311182801E-2</v>
      </c>
      <c r="C54" s="4">
        <f t="shared" si="45"/>
        <v>9.8266206223655977E-2</v>
      </c>
      <c r="D54" s="4">
        <f t="shared" si="45"/>
        <v>0.14739930933548442</v>
      </c>
      <c r="E54" s="4">
        <f t="shared" si="45"/>
        <v>0.24566551555914107</v>
      </c>
      <c r="F54" s="4">
        <f t="shared" si="45"/>
        <v>0.34393172178279691</v>
      </c>
      <c r="G54" s="4">
        <f t="shared" si="45"/>
        <v>0.49133103111828114</v>
      </c>
      <c r="H54" s="4">
        <f t="shared" si="45"/>
        <v>-0.34393172178279652</v>
      </c>
      <c r="I54" s="4">
        <f t="shared" si="45"/>
        <v>-0.24566551555914068</v>
      </c>
      <c r="J54" s="4">
        <f t="shared" si="45"/>
        <v>-0.14739930933548437</v>
      </c>
      <c r="K54" s="4">
        <f t="shared" si="45"/>
        <v>-9.8266206223656102E-2</v>
      </c>
      <c r="L54" s="4">
        <f t="shared" si="45"/>
        <v>-4.9133103111828294E-2</v>
      </c>
    </row>
    <row r="55" spans="1:12" x14ac:dyDescent="0.2">
      <c r="A55" s="1" t="str">
        <f t="shared" si="36"/>
        <v>1Y</v>
      </c>
      <c r="B55" s="4">
        <f t="shared" ref="B55:L55" si="46">opt_delta($T$1,B27,$T12,$N12,B12/100,$P12,$O12,B$30)</f>
        <v>4.8817214432892192E-2</v>
      </c>
      <c r="C55" s="4">
        <f t="shared" si="46"/>
        <v>9.7634428865784217E-2</v>
      </c>
      <c r="D55" s="4">
        <f t="shared" si="46"/>
        <v>0.14645164329867749</v>
      </c>
      <c r="E55" s="4">
        <f t="shared" si="46"/>
        <v>0.24408607216446129</v>
      </c>
      <c r="F55" s="4">
        <f t="shared" si="46"/>
        <v>0.3417205010302457</v>
      </c>
      <c r="G55" s="4">
        <f t="shared" si="46"/>
        <v>0.4881721443289222</v>
      </c>
      <c r="H55" s="4">
        <f t="shared" si="46"/>
        <v>-0.34172050103024493</v>
      </c>
      <c r="I55" s="4">
        <f t="shared" si="46"/>
        <v>-0.24408607216446079</v>
      </c>
      <c r="J55" s="4">
        <f t="shared" si="46"/>
        <v>-0.14645164329867733</v>
      </c>
      <c r="K55" s="4">
        <f t="shared" si="46"/>
        <v>-9.7634428865784717E-2</v>
      </c>
      <c r="L55" s="4">
        <f t="shared" si="46"/>
        <v>-4.8817214432892282E-2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 enableFormatConditionsCalculation="0"/>
  <dimension ref="A1:F122"/>
  <sheetViews>
    <sheetView workbookViewId="0">
      <selection activeCell="D29" sqref="A1:F122"/>
    </sheetView>
  </sheetViews>
  <sheetFormatPr baseColWidth="10" defaultRowHeight="13" x14ac:dyDescent="0.15"/>
  <sheetData>
    <row r="1" spans="1:6" ht="16" x14ac:dyDescent="0.2">
      <c r="A1" s="1" t="s">
        <v>33</v>
      </c>
      <c r="B1" s="1" t="s">
        <v>34</v>
      </c>
      <c r="C1" s="1" t="s">
        <v>32</v>
      </c>
      <c r="D1" s="1" t="s">
        <v>35</v>
      </c>
      <c r="E1" s="1" t="s">
        <v>36</v>
      </c>
      <c r="F1" s="1" t="s">
        <v>37</v>
      </c>
    </row>
    <row r="2" spans="1:6" x14ac:dyDescent="0.15">
      <c r="A2" s="17">
        <f>Feuil1!B31</f>
        <v>2.0596455197750829E-4</v>
      </c>
      <c r="B2" s="17">
        <f>Feuil1!B17</f>
        <v>0.98908903255065617</v>
      </c>
      <c r="C2" s="17">
        <f>Feuil1!$N2</f>
        <v>1.9230769230769232E-2</v>
      </c>
      <c r="D2" s="17">
        <f>Feuil1!$P2</f>
        <v>-1.298E-2</v>
      </c>
      <c r="E2" s="17">
        <f>Feuil1!$O2</f>
        <v>7.0699999999999999E-3</v>
      </c>
      <c r="F2" s="17">
        <f>Feuil1!$B$30</f>
        <v>1</v>
      </c>
    </row>
    <row r="3" spans="1:6" x14ac:dyDescent="0.15">
      <c r="A3" s="17">
        <f>Feuil1!B32</f>
        <v>2.8981890682928946E-4</v>
      </c>
      <c r="B3" s="17">
        <f>Feuil1!B18</f>
        <v>0.99554688619604126</v>
      </c>
      <c r="C3" s="17">
        <f>Feuil1!$N3</f>
        <v>3.8461538461538464E-2</v>
      </c>
      <c r="D3" s="17">
        <f>Feuil1!$P3</f>
        <v>-1.453E-2</v>
      </c>
      <c r="E3" s="17">
        <f>Feuil1!$O3</f>
        <v>5.8399999999999997E-3</v>
      </c>
      <c r="F3" s="17">
        <f>Feuil1!$B$30</f>
        <v>1</v>
      </c>
    </row>
    <row r="4" spans="1:6" x14ac:dyDescent="0.15">
      <c r="A4" s="17">
        <f>Feuil1!B33</f>
        <v>3.6786463869540459E-4</v>
      </c>
      <c r="B4" s="17">
        <f>Feuil1!B19</f>
        <v>1.001615325936245</v>
      </c>
      <c r="C4" s="17">
        <f>Feuil1!$N4</f>
        <v>5.7692307692307696E-2</v>
      </c>
      <c r="D4" s="17">
        <f>Feuil1!$P4</f>
        <v>-1.332E-2</v>
      </c>
      <c r="E4" s="17">
        <f>Feuil1!$O4</f>
        <v>7.1199999999999996E-3</v>
      </c>
      <c r="F4" s="17">
        <f>Feuil1!$B$30</f>
        <v>1</v>
      </c>
    </row>
    <row r="5" spans="1:6" x14ac:dyDescent="0.15">
      <c r="A5" s="17">
        <f>Feuil1!B34</f>
        <v>4.6645221429554573E-4</v>
      </c>
      <c r="B5" s="17">
        <f>Feuil1!B20</f>
        <v>1.0093342700575763</v>
      </c>
      <c r="C5" s="17">
        <f>Feuil1!$N5</f>
        <v>8.3333333333333329E-2</v>
      </c>
      <c r="D5" s="17">
        <f>Feuil1!$P5</f>
        <v>-1.225E-2</v>
      </c>
      <c r="E5" s="17">
        <f>Feuil1!$O5</f>
        <v>8.6700000000000006E-3</v>
      </c>
      <c r="F5" s="17">
        <f>Feuil1!$B$30</f>
        <v>1</v>
      </c>
    </row>
    <row r="6" spans="1:6" x14ac:dyDescent="0.15">
      <c r="A6" s="17">
        <f>Feuil1!B35</f>
        <v>6.3280449920039006E-4</v>
      </c>
      <c r="B6" s="17">
        <f>Feuil1!B21</f>
        <v>1.0215835521932415</v>
      </c>
      <c r="C6" s="17">
        <f>Feuil1!$N6</f>
        <v>0.16666666666666666</v>
      </c>
      <c r="D6" s="17">
        <f>Feuil1!$P6</f>
        <v>-1.2749999999999999E-2</v>
      </c>
      <c r="E6" s="17">
        <f>Feuil1!$O6</f>
        <v>1.0019999999999999E-2</v>
      </c>
      <c r="F6" s="17">
        <f>Feuil1!$B$30</f>
        <v>1</v>
      </c>
    </row>
    <row r="7" spans="1:6" x14ac:dyDescent="0.15">
      <c r="A7" s="17">
        <f>Feuil1!B36</f>
        <v>7.9359929621784092E-4</v>
      </c>
      <c r="B7" s="17">
        <f>Feuil1!B22</f>
        <v>1.033889359781049</v>
      </c>
      <c r="C7" s="17">
        <f>Feuil1!$N7</f>
        <v>0.25</v>
      </c>
      <c r="D7" s="17">
        <f>Feuil1!$P7</f>
        <v>-1.247E-2</v>
      </c>
      <c r="E7" s="17">
        <f>Feuil1!$O7</f>
        <v>1.023E-2</v>
      </c>
      <c r="F7" s="17">
        <f>Feuil1!$B$30</f>
        <v>1</v>
      </c>
    </row>
    <row r="8" spans="1:6" x14ac:dyDescent="0.15">
      <c r="A8" s="17">
        <f>Feuil1!B37</f>
        <v>9.3562059661470715E-4</v>
      </c>
      <c r="B8" s="17">
        <f>Feuil1!B23</f>
        <v>1.0449074132770426</v>
      </c>
      <c r="C8" s="17">
        <f>Feuil1!$N8</f>
        <v>0.33333333333333331</v>
      </c>
      <c r="D8" s="17">
        <f>Feuil1!$P8</f>
        <v>-1.1939999999999999E-2</v>
      </c>
      <c r="E8" s="17">
        <f>Feuil1!$O8</f>
        <v>1.065E-2</v>
      </c>
      <c r="F8" s="17">
        <f>Feuil1!$B$30</f>
        <v>1</v>
      </c>
    </row>
    <row r="9" spans="1:6" x14ac:dyDescent="0.15">
      <c r="A9" s="17">
        <f>Feuil1!B38</f>
        <v>1.0689921731720439E-3</v>
      </c>
      <c r="B9" s="17">
        <f>Feuil1!B24</f>
        <v>1.0551086189354959</v>
      </c>
      <c r="C9" s="17">
        <f>Feuil1!$N9</f>
        <v>0.41666666666666669</v>
      </c>
      <c r="D9" s="17">
        <f>Feuil1!$P9</f>
        <v>-1.2330000000000001E-2</v>
      </c>
      <c r="E9" s="17">
        <f>Feuil1!$O9</f>
        <v>1.094E-2</v>
      </c>
      <c r="F9" s="17">
        <f>Feuil1!$B$30</f>
        <v>1</v>
      </c>
    </row>
    <row r="10" spans="1:6" x14ac:dyDescent="0.15">
      <c r="A10" s="17">
        <f>Feuil1!B39</f>
        <v>1.1845676727756035E-3</v>
      </c>
      <c r="B10" s="17">
        <f>Feuil1!B25</f>
        <v>1.0641008361536624</v>
      </c>
      <c r="C10" s="17">
        <f>Feuil1!$N10</f>
        <v>0.5</v>
      </c>
      <c r="D10" s="17">
        <f>Feuil1!$P10</f>
        <v>-1.2200000000000001E-2</v>
      </c>
      <c r="E10" s="17">
        <f>Feuil1!$O10</f>
        <v>1.116E-2</v>
      </c>
      <c r="F10" s="17">
        <f>Feuil1!$B$30</f>
        <v>1</v>
      </c>
    </row>
    <row r="11" spans="1:6" x14ac:dyDescent="0.15">
      <c r="A11" s="17">
        <f>Feuil1!B40</f>
        <v>1.4963638403751797E-3</v>
      </c>
      <c r="B11" s="17">
        <f>Feuil1!B26</f>
        <v>1.0885257088566471</v>
      </c>
      <c r="C11" s="17">
        <f>Feuil1!$N11</f>
        <v>0.75</v>
      </c>
      <c r="D11" s="17">
        <f>Feuil1!$P11</f>
        <v>-1.242E-2</v>
      </c>
      <c r="E11" s="17">
        <f>Feuil1!$O11</f>
        <v>1.166E-2</v>
      </c>
      <c r="F11" s="17">
        <f>Feuil1!$B$30</f>
        <v>1</v>
      </c>
    </row>
    <row r="12" spans="1:6" x14ac:dyDescent="0.15">
      <c r="A12" s="17">
        <f>Feuil1!B41</f>
        <v>1.7723515902135431E-3</v>
      </c>
      <c r="B12" s="17">
        <f>Feuil1!B27</f>
        <v>1.111126141879196</v>
      </c>
      <c r="C12" s="17">
        <f>Feuil1!$N12</f>
        <v>1</v>
      </c>
      <c r="D12" s="17">
        <f>Feuil1!$P12</f>
        <v>-1.2370000000000001E-2</v>
      </c>
      <c r="E12" s="17">
        <f>Feuil1!$O12</f>
        <v>1.197E-2</v>
      </c>
      <c r="F12" s="17">
        <f>Feuil1!$B$30</f>
        <v>1</v>
      </c>
    </row>
    <row r="13" spans="1:6" x14ac:dyDescent="0.15">
      <c r="A13" s="17">
        <f>Feuil1!C31</f>
        <v>4.5581234904240597E-4</v>
      </c>
      <c r="B13" s="17">
        <f>Feuil1!C17</f>
        <v>0.9851420090933819</v>
      </c>
      <c r="C13" s="17">
        <f>Feuil1!$N2</f>
        <v>1.9230769230769232E-2</v>
      </c>
      <c r="D13" s="17">
        <f>Feuil1!$P2</f>
        <v>-1.298E-2</v>
      </c>
      <c r="E13" s="17">
        <f>Feuil1!$O2</f>
        <v>7.0699999999999999E-3</v>
      </c>
      <c r="F13" s="17">
        <f>Feuil1!$C$30</f>
        <v>1</v>
      </c>
    </row>
    <row r="14" spans="1:6" x14ac:dyDescent="0.15">
      <c r="A14" s="17">
        <f>Feuil1!C32</f>
        <v>6.4018042513348805E-4</v>
      </c>
      <c r="B14" s="17">
        <f>Feuil1!C18</f>
        <v>0.9899186352611139</v>
      </c>
      <c r="C14" s="17">
        <f>Feuil1!$N3</f>
        <v>3.8461538461538464E-2</v>
      </c>
      <c r="D14" s="17">
        <f>Feuil1!$P3</f>
        <v>-1.453E-2</v>
      </c>
      <c r="E14" s="17">
        <f>Feuil1!$O3</f>
        <v>5.8399999999999997E-3</v>
      </c>
      <c r="F14" s="17">
        <f>Feuil1!$C$30</f>
        <v>1</v>
      </c>
    </row>
    <row r="15" spans="1:6" x14ac:dyDescent="0.15">
      <c r="A15" s="17">
        <f>Feuil1!C33</f>
        <v>8.1377158363492297E-4</v>
      </c>
      <c r="B15" s="17">
        <f>Feuil1!C19</f>
        <v>0.99445565068298614</v>
      </c>
      <c r="C15" s="17">
        <f>Feuil1!$N4</f>
        <v>5.7692307692307696E-2</v>
      </c>
      <c r="D15" s="17">
        <f>Feuil1!$P4</f>
        <v>-1.332E-2</v>
      </c>
      <c r="E15" s="17">
        <f>Feuil1!$O4</f>
        <v>7.1199999999999996E-3</v>
      </c>
      <c r="F15" s="17">
        <f>Feuil1!$C$30</f>
        <v>1</v>
      </c>
    </row>
    <row r="16" spans="1:6" x14ac:dyDescent="0.15">
      <c r="A16" s="17">
        <f>Feuil1!C34</f>
        <v>1.0257148159107665E-3</v>
      </c>
      <c r="B16" s="17">
        <f>Feuil1!C20</f>
        <v>0.99999696885053391</v>
      </c>
      <c r="C16" s="17">
        <f>Feuil1!$N5</f>
        <v>8.3333333333333329E-2</v>
      </c>
      <c r="D16" s="17">
        <f>Feuil1!$P5</f>
        <v>-1.225E-2</v>
      </c>
      <c r="E16" s="17">
        <f>Feuil1!$O5</f>
        <v>8.6700000000000006E-3</v>
      </c>
      <c r="F16" s="17">
        <f>Feuil1!$C$30</f>
        <v>1</v>
      </c>
    </row>
    <row r="17" spans="1:6" x14ac:dyDescent="0.15">
      <c r="A17" s="17">
        <f>Feuil1!C35</f>
        <v>1.3824850624274271E-3</v>
      </c>
      <c r="B17" s="17">
        <f>Feuil1!C21</f>
        <v>1.0084564852708793</v>
      </c>
      <c r="C17" s="17">
        <f>Feuil1!$N6</f>
        <v>0.16666666666666666</v>
      </c>
      <c r="D17" s="17">
        <f>Feuil1!$P6</f>
        <v>-1.2749999999999999E-2</v>
      </c>
      <c r="E17" s="17">
        <f>Feuil1!$O6</f>
        <v>1.0019999999999999E-2</v>
      </c>
      <c r="F17" s="17">
        <f>Feuil1!$C$30</f>
        <v>1</v>
      </c>
    </row>
    <row r="18" spans="1:6" x14ac:dyDescent="0.15">
      <c r="A18" s="17">
        <f>Feuil1!C36</f>
        <v>1.7191043047116161E-3</v>
      </c>
      <c r="B18" s="17">
        <f>Feuil1!C22</f>
        <v>1.0167337201821478</v>
      </c>
      <c r="C18" s="17">
        <f>Feuil1!$N7</f>
        <v>0.25</v>
      </c>
      <c r="D18" s="17">
        <f>Feuil1!$P7</f>
        <v>-1.247E-2</v>
      </c>
      <c r="E18" s="17">
        <f>Feuil1!$O7</f>
        <v>1.023E-2</v>
      </c>
      <c r="F18" s="17">
        <f>Feuil1!$C$30</f>
        <v>1</v>
      </c>
    </row>
    <row r="19" spans="1:6" x14ac:dyDescent="0.15">
      <c r="A19" s="17">
        <f>Feuil1!C37</f>
        <v>2.0235077552684388E-3</v>
      </c>
      <c r="B19" s="17">
        <f>Feuil1!C23</f>
        <v>1.0242989501657451</v>
      </c>
      <c r="C19" s="17">
        <f>Feuil1!$N8</f>
        <v>0.33333333333333331</v>
      </c>
      <c r="D19" s="17">
        <f>Feuil1!$P8</f>
        <v>-1.1939999999999999E-2</v>
      </c>
      <c r="E19" s="17">
        <f>Feuil1!$O8</f>
        <v>1.065E-2</v>
      </c>
      <c r="F19" s="17">
        <f>Feuil1!$C$30</f>
        <v>1</v>
      </c>
    </row>
    <row r="20" spans="1:6" x14ac:dyDescent="0.15">
      <c r="A20" s="17">
        <f>Feuil1!C38</f>
        <v>2.3018302719958611E-3</v>
      </c>
      <c r="B20" s="17">
        <f>Feuil1!C24</f>
        <v>1.0309361757367921</v>
      </c>
      <c r="C20" s="17">
        <f>Feuil1!$N9</f>
        <v>0.41666666666666669</v>
      </c>
      <c r="D20" s="17">
        <f>Feuil1!$P9</f>
        <v>-1.2330000000000001E-2</v>
      </c>
      <c r="E20" s="17">
        <f>Feuil1!$O9</f>
        <v>1.094E-2</v>
      </c>
      <c r="F20" s="17">
        <f>Feuil1!$C$30</f>
        <v>1</v>
      </c>
    </row>
    <row r="21" spans="1:6" x14ac:dyDescent="0.15">
      <c r="A21" s="17">
        <f>Feuil1!C39</f>
        <v>2.5436813172923095E-3</v>
      </c>
      <c r="B21" s="17">
        <f>Feuil1!C25</f>
        <v>1.036775885466223</v>
      </c>
      <c r="C21" s="17">
        <f>Feuil1!$N10</f>
        <v>0.5</v>
      </c>
      <c r="D21" s="17">
        <f>Feuil1!$P10</f>
        <v>-1.2200000000000001E-2</v>
      </c>
      <c r="E21" s="17">
        <f>Feuil1!$O10</f>
        <v>1.116E-2</v>
      </c>
      <c r="F21" s="17">
        <f>Feuil1!$C$30</f>
        <v>1</v>
      </c>
    </row>
    <row r="22" spans="1:6" x14ac:dyDescent="0.15">
      <c r="A22" s="17">
        <f>Feuil1!C40</f>
        <v>3.1946178517534424E-3</v>
      </c>
      <c r="B22" s="17">
        <f>Feuil1!C26</f>
        <v>1.0522537387968125</v>
      </c>
      <c r="C22" s="17">
        <f>Feuil1!$N11</f>
        <v>0.75</v>
      </c>
      <c r="D22" s="17">
        <f>Feuil1!$P11</f>
        <v>-1.242E-2</v>
      </c>
      <c r="E22" s="17">
        <f>Feuil1!$O11</f>
        <v>1.166E-2</v>
      </c>
      <c r="F22" s="17">
        <f>Feuil1!$C$30</f>
        <v>1</v>
      </c>
    </row>
    <row r="23" spans="1:6" x14ac:dyDescent="0.15">
      <c r="A23" s="17">
        <f>Feuil1!C41</f>
        <v>3.7678701336526232E-3</v>
      </c>
      <c r="B23" s="17">
        <f>Feuil1!C27</f>
        <v>1.0662930902081815</v>
      </c>
      <c r="C23" s="17">
        <f>Feuil1!$N12</f>
        <v>1</v>
      </c>
      <c r="D23" s="17">
        <f>Feuil1!$P12</f>
        <v>-1.2370000000000001E-2</v>
      </c>
      <c r="E23" s="17">
        <f>Feuil1!$O12</f>
        <v>1.197E-2</v>
      </c>
      <c r="F23" s="17">
        <f>Feuil1!$C$30</f>
        <v>1</v>
      </c>
    </row>
    <row r="24" spans="1:6" x14ac:dyDescent="0.15">
      <c r="A24" s="17">
        <f>Feuil1!D31</f>
        <v>7.3812258469665992E-4</v>
      </c>
      <c r="B24" s="17">
        <f>Feuil1!D17</f>
        <v>0.98261242040622043</v>
      </c>
      <c r="C24" s="17">
        <f>Feuil1!$N2</f>
        <v>1.9230769230769232E-2</v>
      </c>
      <c r="D24" s="17">
        <f>Feuil1!$P2</f>
        <v>-1.298E-2</v>
      </c>
      <c r="E24" s="17">
        <f>Feuil1!$O2</f>
        <v>7.0699999999999999E-3</v>
      </c>
      <c r="F24" s="17">
        <f>Feuil1!$D$30</f>
        <v>1</v>
      </c>
    </row>
    <row r="25" spans="1:6" x14ac:dyDescent="0.15">
      <c r="A25" s="17">
        <f>Feuil1!D32</f>
        <v>1.035475529828217E-3</v>
      </c>
      <c r="B25" s="17">
        <f>Feuil1!D18</f>
        <v>0.98632802626082372</v>
      </c>
      <c r="C25" s="17">
        <f>Feuil1!$N3</f>
        <v>3.8461538461538464E-2</v>
      </c>
      <c r="D25" s="17">
        <f>Feuil1!$P3</f>
        <v>-1.453E-2</v>
      </c>
      <c r="E25" s="17">
        <f>Feuil1!$O3</f>
        <v>5.8399999999999997E-3</v>
      </c>
      <c r="F25" s="17">
        <f>Feuil1!$D$30</f>
        <v>1</v>
      </c>
    </row>
    <row r="26" spans="1:6" x14ac:dyDescent="0.15">
      <c r="A26" s="17">
        <f>Feuil1!D33</f>
        <v>1.3175462363263502E-3</v>
      </c>
      <c r="B26" s="17">
        <f>Feuil1!D19</f>
        <v>0.98988295390007808</v>
      </c>
      <c r="C26" s="17">
        <f>Feuil1!$N4</f>
        <v>5.7692307692307696E-2</v>
      </c>
      <c r="D26" s="17">
        <f>Feuil1!$P4</f>
        <v>-1.332E-2</v>
      </c>
      <c r="E26" s="17">
        <f>Feuil1!$O4</f>
        <v>7.1199999999999996E-3</v>
      </c>
      <c r="F26" s="17">
        <f>Feuil1!$D$30</f>
        <v>1</v>
      </c>
    </row>
    <row r="27" spans="1:6" x14ac:dyDescent="0.15">
      <c r="A27" s="17">
        <f>Feuil1!D34</f>
        <v>1.6532006974274982E-3</v>
      </c>
      <c r="B27" s="17">
        <f>Feuil1!D20</f>
        <v>0.9940851112360527</v>
      </c>
      <c r="C27" s="17">
        <f>Feuil1!$N5</f>
        <v>8.3333333333333329E-2</v>
      </c>
      <c r="D27" s="17">
        <f>Feuil1!$P5</f>
        <v>-1.225E-2</v>
      </c>
      <c r="E27" s="17">
        <f>Feuil1!$O5</f>
        <v>8.6700000000000006E-3</v>
      </c>
      <c r="F27" s="17">
        <f>Feuil1!$D$30</f>
        <v>1</v>
      </c>
    </row>
    <row r="28" spans="1:6" x14ac:dyDescent="0.15">
      <c r="A28" s="17">
        <f>Feuil1!D35</f>
        <v>2.2188500829958269E-3</v>
      </c>
      <c r="B28" s="17">
        <f>Feuil1!D21</f>
        <v>1.0002544922725198</v>
      </c>
      <c r="C28" s="17">
        <f>Feuil1!$N6</f>
        <v>0.16666666666666666</v>
      </c>
      <c r="D28" s="17">
        <f>Feuil1!$P6</f>
        <v>-1.2749999999999999E-2</v>
      </c>
      <c r="E28" s="17">
        <f>Feuil1!$O6</f>
        <v>1.0019999999999999E-2</v>
      </c>
      <c r="F28" s="17">
        <f>Feuil1!$D$30</f>
        <v>1</v>
      </c>
    </row>
    <row r="29" spans="1:6" x14ac:dyDescent="0.15">
      <c r="A29" s="17">
        <f>Feuil1!D36</f>
        <v>2.7404760860441357E-3</v>
      </c>
      <c r="B29" s="17">
        <f>Feuil1!D22</f>
        <v>1.0061358198805543</v>
      </c>
      <c r="C29" s="17">
        <f>Feuil1!$N7</f>
        <v>0.25</v>
      </c>
      <c r="D29" s="17">
        <f>Feuil1!$P7</f>
        <v>-1.247E-2</v>
      </c>
      <c r="E29" s="17">
        <f>Feuil1!$O7</f>
        <v>1.023E-2</v>
      </c>
      <c r="F29" s="17">
        <f>Feuil1!$D$30</f>
        <v>1</v>
      </c>
    </row>
    <row r="30" spans="1:6" x14ac:dyDescent="0.15">
      <c r="A30" s="17">
        <f>Feuil1!D37</f>
        <v>3.2240224613721835E-3</v>
      </c>
      <c r="B30" s="17">
        <f>Feuil1!D23</f>
        <v>1.011656299730348</v>
      </c>
      <c r="C30" s="17">
        <f>Feuil1!$N8</f>
        <v>0.33333333333333331</v>
      </c>
      <c r="D30" s="17">
        <f>Feuil1!$P8</f>
        <v>-1.1939999999999999E-2</v>
      </c>
      <c r="E30" s="17">
        <f>Feuil1!$O8</f>
        <v>1.065E-2</v>
      </c>
      <c r="F30" s="17">
        <f>Feuil1!$D$30</f>
        <v>1</v>
      </c>
    </row>
    <row r="31" spans="1:6" x14ac:dyDescent="0.15">
      <c r="A31" s="17">
        <f>Feuil1!D38</f>
        <v>3.6539179800978427E-3</v>
      </c>
      <c r="B31" s="17">
        <f>Feuil1!D24</f>
        <v>1.0161967796241562</v>
      </c>
      <c r="C31" s="17">
        <f>Feuil1!$N9</f>
        <v>0.41666666666666669</v>
      </c>
      <c r="D31" s="17">
        <f>Feuil1!$P9</f>
        <v>-1.2330000000000001E-2</v>
      </c>
      <c r="E31" s="17">
        <f>Feuil1!$O9</f>
        <v>1.094E-2</v>
      </c>
      <c r="F31" s="17">
        <f>Feuil1!$D$30</f>
        <v>1</v>
      </c>
    </row>
    <row r="32" spans="1:6" x14ac:dyDescent="0.15">
      <c r="A32" s="17">
        <f>Feuil1!D39</f>
        <v>4.03195238763146E-3</v>
      </c>
      <c r="B32" s="17">
        <f>Feuil1!D25</f>
        <v>1.0202426689193325</v>
      </c>
      <c r="C32" s="17">
        <f>Feuil1!$N10</f>
        <v>0.5</v>
      </c>
      <c r="D32" s="17">
        <f>Feuil1!$P10</f>
        <v>-1.2200000000000001E-2</v>
      </c>
      <c r="E32" s="17">
        <f>Feuil1!$O10</f>
        <v>1.116E-2</v>
      </c>
      <c r="F32" s="17">
        <f>Feuil1!$D$30</f>
        <v>1</v>
      </c>
    </row>
    <row r="33" spans="1:6" x14ac:dyDescent="0.15">
      <c r="A33" s="17">
        <f>Feuil1!D40</f>
        <v>5.0476462119359855E-3</v>
      </c>
      <c r="B33" s="17">
        <f>Feuil1!D26</f>
        <v>1.0306847318221244</v>
      </c>
      <c r="C33" s="17">
        <f>Feuil1!$N11</f>
        <v>0.75</v>
      </c>
      <c r="D33" s="17">
        <f>Feuil1!$P11</f>
        <v>-1.242E-2</v>
      </c>
      <c r="E33" s="17">
        <f>Feuil1!$O11</f>
        <v>1.166E-2</v>
      </c>
      <c r="F33" s="17">
        <f>Feuil1!$D$30</f>
        <v>1</v>
      </c>
    </row>
    <row r="34" spans="1:6" x14ac:dyDescent="0.15">
      <c r="A34" s="17">
        <f>Feuil1!D41</f>
        <v>5.9291556902530962E-3</v>
      </c>
      <c r="B34" s="17">
        <f>Feuil1!D27</f>
        <v>1.0398215009487977</v>
      </c>
      <c r="C34" s="17">
        <f>Feuil1!$N12</f>
        <v>1</v>
      </c>
      <c r="D34" s="17">
        <f>Feuil1!$P12</f>
        <v>-1.2370000000000001E-2</v>
      </c>
      <c r="E34" s="17">
        <f>Feuil1!$O12</f>
        <v>1.197E-2</v>
      </c>
      <c r="F34" s="17">
        <f>Feuil1!$D$30</f>
        <v>1</v>
      </c>
    </row>
    <row r="35" spans="1:6" x14ac:dyDescent="0.15">
      <c r="A35" s="17">
        <f>Feuil1!E31</f>
        <v>1.3957446923138217E-3</v>
      </c>
      <c r="B35" s="17">
        <f>Feuil1!E17</f>
        <v>0.97903420719820156</v>
      </c>
      <c r="C35" s="17">
        <f>Feuil1!$N2</f>
        <v>1.9230769230769232E-2</v>
      </c>
      <c r="D35" s="17">
        <f>Feuil1!$P2</f>
        <v>-1.298E-2</v>
      </c>
      <c r="E35" s="17">
        <f>Feuil1!$O2</f>
        <v>7.0699999999999999E-3</v>
      </c>
      <c r="F35" s="17">
        <f>Feuil1!$E$30</f>
        <v>1</v>
      </c>
    </row>
    <row r="36" spans="1:6" x14ac:dyDescent="0.15">
      <c r="A36" s="17">
        <f>Feuil1!E32</f>
        <v>1.9563504849715585E-3</v>
      </c>
      <c r="B36" s="17">
        <f>Feuil1!E18</f>
        <v>0.98127639379382336</v>
      </c>
      <c r="C36" s="17">
        <f>Feuil1!$N3</f>
        <v>3.8461538461538464E-2</v>
      </c>
      <c r="D36" s="17">
        <f>Feuil1!$P3</f>
        <v>-1.453E-2</v>
      </c>
      <c r="E36" s="17">
        <f>Feuil1!$O3</f>
        <v>5.8399999999999997E-3</v>
      </c>
      <c r="F36" s="17">
        <f>Feuil1!$E$30</f>
        <v>1</v>
      </c>
    </row>
    <row r="37" spans="1:6" x14ac:dyDescent="0.15">
      <c r="A37" s="17">
        <f>Feuil1!E33</f>
        <v>2.4923667674125183E-3</v>
      </c>
      <c r="B37" s="17">
        <f>Feuil1!E19</f>
        <v>0.9834394623118996</v>
      </c>
      <c r="C37" s="17">
        <f>Feuil1!$N4</f>
        <v>5.7692307692307696E-2</v>
      </c>
      <c r="D37" s="17">
        <f>Feuil1!$P4</f>
        <v>-1.332E-2</v>
      </c>
      <c r="E37" s="17">
        <f>Feuil1!$O4</f>
        <v>7.1199999999999996E-3</v>
      </c>
      <c r="F37" s="17">
        <f>Feuil1!$E$30</f>
        <v>1</v>
      </c>
    </row>
    <row r="38" spans="1:6" x14ac:dyDescent="0.15">
      <c r="A38" s="17">
        <f>Feuil1!E34</f>
        <v>3.1101054215287305E-3</v>
      </c>
      <c r="B38" s="17">
        <f>Feuil1!E20</f>
        <v>0.98587024790195121</v>
      </c>
      <c r="C38" s="17">
        <f>Feuil1!$N5</f>
        <v>8.3333333333333329E-2</v>
      </c>
      <c r="D38" s="17">
        <f>Feuil1!$P5</f>
        <v>-1.225E-2</v>
      </c>
      <c r="E38" s="17">
        <f>Feuil1!$O5</f>
        <v>8.6700000000000006E-3</v>
      </c>
      <c r="F38" s="17">
        <f>Feuil1!$E$30</f>
        <v>1</v>
      </c>
    </row>
    <row r="39" spans="1:6" x14ac:dyDescent="0.15">
      <c r="A39" s="17">
        <f>Feuil1!E35</f>
        <v>4.152665525801319E-3</v>
      </c>
      <c r="B39" s="17">
        <f>Feuil1!E21</f>
        <v>0.98901546518865446</v>
      </c>
      <c r="C39" s="17">
        <f>Feuil1!$N6</f>
        <v>0.16666666666666666</v>
      </c>
      <c r="D39" s="17">
        <f>Feuil1!$P6</f>
        <v>-1.2749999999999999E-2</v>
      </c>
      <c r="E39" s="17">
        <f>Feuil1!$O6</f>
        <v>1.0019999999999999E-2</v>
      </c>
      <c r="F39" s="17">
        <f>Feuil1!$E$30</f>
        <v>1</v>
      </c>
    </row>
    <row r="40" spans="1:6" x14ac:dyDescent="0.15">
      <c r="A40" s="17">
        <f>Feuil1!E36</f>
        <v>5.0862577778723606E-3</v>
      </c>
      <c r="B40" s="17">
        <f>Feuil1!E22</f>
        <v>0.99191035347379375</v>
      </c>
      <c r="C40" s="17">
        <f>Feuil1!$N7</f>
        <v>0.25</v>
      </c>
      <c r="D40" s="17">
        <f>Feuil1!$P7</f>
        <v>-1.247E-2</v>
      </c>
      <c r="E40" s="17">
        <f>Feuil1!$O7</f>
        <v>1.023E-2</v>
      </c>
      <c r="F40" s="17">
        <f>Feuil1!$E$30</f>
        <v>1</v>
      </c>
    </row>
    <row r="41" spans="1:6" x14ac:dyDescent="0.15">
      <c r="A41" s="17">
        <f>Feuil1!E37</f>
        <v>5.9767301303121911E-3</v>
      </c>
      <c r="B41" s="17">
        <f>Feuil1!E23</f>
        <v>0.99473287644906427</v>
      </c>
      <c r="C41" s="17">
        <f>Feuil1!$N8</f>
        <v>0.33333333333333331</v>
      </c>
      <c r="D41" s="17">
        <f>Feuil1!$P8</f>
        <v>-1.1939999999999999E-2</v>
      </c>
      <c r="E41" s="17">
        <f>Feuil1!$O8</f>
        <v>1.065E-2</v>
      </c>
      <c r="F41" s="17">
        <f>Feuil1!$E$30</f>
        <v>1</v>
      </c>
    </row>
    <row r="42" spans="1:6" x14ac:dyDescent="0.15">
      <c r="A42" s="17">
        <f>Feuil1!E38</f>
        <v>6.7501248092026456E-3</v>
      </c>
      <c r="B42" s="17">
        <f>Feuil1!E24</f>
        <v>0.9967402710881168</v>
      </c>
      <c r="C42" s="17">
        <f>Feuil1!$N9</f>
        <v>0.41666666666666669</v>
      </c>
      <c r="D42" s="17">
        <f>Feuil1!$P9</f>
        <v>-1.2330000000000001E-2</v>
      </c>
      <c r="E42" s="17">
        <f>Feuil1!$O9</f>
        <v>1.094E-2</v>
      </c>
      <c r="F42" s="17">
        <f>Feuil1!$E$30</f>
        <v>1</v>
      </c>
    </row>
    <row r="43" spans="1:6" x14ac:dyDescent="0.15">
      <c r="A43" s="17">
        <f>Feuil1!E39</f>
        <v>7.4256945517323647E-3</v>
      </c>
      <c r="B43" s="17">
        <f>Feuil1!E25</f>
        <v>0.99849349040551183</v>
      </c>
      <c r="C43" s="17">
        <f>Feuil1!$N10</f>
        <v>0.5</v>
      </c>
      <c r="D43" s="17">
        <f>Feuil1!$P10</f>
        <v>-1.2200000000000001E-2</v>
      </c>
      <c r="E43" s="17">
        <f>Feuil1!$O10</f>
        <v>1.116E-2</v>
      </c>
      <c r="F43" s="17">
        <f>Feuil1!$E$30</f>
        <v>1</v>
      </c>
    </row>
    <row r="44" spans="1:6" x14ac:dyDescent="0.15">
      <c r="A44" s="17">
        <f>Feuil1!E40</f>
        <v>9.2560105228674805E-3</v>
      </c>
      <c r="B44" s="17">
        <f>Feuil1!E26</f>
        <v>1.0026784152293935</v>
      </c>
      <c r="C44" s="17">
        <f>Feuil1!$N11</f>
        <v>0.75</v>
      </c>
      <c r="D44" s="17">
        <f>Feuil1!$P11</f>
        <v>-1.242E-2</v>
      </c>
      <c r="E44" s="17">
        <f>Feuil1!$O11</f>
        <v>1.166E-2</v>
      </c>
      <c r="F44" s="17">
        <f>Feuil1!$E$30</f>
        <v>1</v>
      </c>
    </row>
    <row r="45" spans="1:6" x14ac:dyDescent="0.15">
      <c r="A45" s="17">
        <f>Feuil1!E41</f>
        <v>1.0822895818486139E-2</v>
      </c>
      <c r="B45" s="17">
        <f>Feuil1!E27</f>
        <v>1.0060187018887803</v>
      </c>
      <c r="C45" s="17">
        <f>Feuil1!$N12</f>
        <v>1</v>
      </c>
      <c r="D45" s="17">
        <f>Feuil1!$P12</f>
        <v>-1.2370000000000001E-2</v>
      </c>
      <c r="E45" s="17">
        <f>Feuil1!$O12</f>
        <v>1.197E-2</v>
      </c>
      <c r="F45" s="17">
        <f>Feuil1!$E$30</f>
        <v>1</v>
      </c>
    </row>
    <row r="46" spans="1:6" x14ac:dyDescent="0.15">
      <c r="A46" s="17">
        <f>Feuil1!F31</f>
        <v>2.1964127382756438E-3</v>
      </c>
      <c r="B46" s="17">
        <f>Feuil1!F17</f>
        <v>0.9762901962024455</v>
      </c>
      <c r="C46" s="17">
        <f>Feuil1!$N2</f>
        <v>1.9230769230769232E-2</v>
      </c>
      <c r="D46" s="17">
        <f>Feuil1!$P2</f>
        <v>-1.298E-2</v>
      </c>
      <c r="E46" s="17">
        <f>Feuil1!$O2</f>
        <v>7.0699999999999999E-3</v>
      </c>
      <c r="F46" s="17">
        <f>Feuil1!$F$30</f>
        <v>1</v>
      </c>
    </row>
    <row r="47" spans="1:6" x14ac:dyDescent="0.15">
      <c r="A47" s="17">
        <f>Feuil1!F32</f>
        <v>3.0779519302756575E-3</v>
      </c>
      <c r="B47" s="17">
        <f>Feuil1!F18</f>
        <v>0.97741522312006324</v>
      </c>
      <c r="C47" s="17">
        <f>Feuil1!$N3</f>
        <v>3.8461538461538464E-2</v>
      </c>
      <c r="D47" s="17">
        <f>Feuil1!$P3</f>
        <v>-1.453E-2</v>
      </c>
      <c r="E47" s="17">
        <f>Feuil1!$O3</f>
        <v>5.8399999999999997E-3</v>
      </c>
      <c r="F47" s="17">
        <f>Feuil1!$F$30</f>
        <v>1</v>
      </c>
    </row>
    <row r="48" spans="1:6" x14ac:dyDescent="0.15">
      <c r="A48" s="17">
        <f>Feuil1!F33</f>
        <v>3.9188376907931533E-3</v>
      </c>
      <c r="B48" s="17">
        <f>Feuil1!F19</f>
        <v>0.97849821684960114</v>
      </c>
      <c r="C48" s="17">
        <f>Feuil1!$N4</f>
        <v>5.7692307692307696E-2</v>
      </c>
      <c r="D48" s="17">
        <f>Feuil1!$P4</f>
        <v>-1.332E-2</v>
      </c>
      <c r="E48" s="17">
        <f>Feuil1!$O4</f>
        <v>7.1199999999999996E-3</v>
      </c>
      <c r="F48" s="17">
        <f>Feuil1!$F$30</f>
        <v>1</v>
      </c>
    </row>
    <row r="49" spans="1:6" x14ac:dyDescent="0.15">
      <c r="A49" s="17">
        <f>Feuil1!F34</f>
        <v>4.876765747223677E-3</v>
      </c>
      <c r="B49" s="17">
        <f>Feuil1!F20</f>
        <v>0.9796539405202459</v>
      </c>
      <c r="C49" s="17">
        <f>Feuil1!$N5</f>
        <v>8.3333333333333329E-2</v>
      </c>
      <c r="D49" s="17">
        <f>Feuil1!$P5</f>
        <v>-1.225E-2</v>
      </c>
      <c r="E49" s="17">
        <f>Feuil1!$O5</f>
        <v>8.6700000000000006E-3</v>
      </c>
      <c r="F49" s="17">
        <f>Feuil1!$F$30</f>
        <v>1</v>
      </c>
    </row>
    <row r="50" spans="1:6" x14ac:dyDescent="0.15">
      <c r="A50" s="17">
        <f>Feuil1!F35</f>
        <v>6.4914282625657127E-3</v>
      </c>
      <c r="B50" s="17">
        <f>Feuil1!F21</f>
        <v>0.98061957520966903</v>
      </c>
      <c r="C50" s="17">
        <f>Feuil1!$N6</f>
        <v>0.16666666666666666</v>
      </c>
      <c r="D50" s="17">
        <f>Feuil1!$P6</f>
        <v>-1.2749999999999999E-2</v>
      </c>
      <c r="E50" s="17">
        <f>Feuil1!$O6</f>
        <v>1.0019999999999999E-2</v>
      </c>
      <c r="F50" s="17">
        <f>Feuil1!$F$30</f>
        <v>1</v>
      </c>
    </row>
    <row r="51" spans="1:6" x14ac:dyDescent="0.15">
      <c r="A51" s="17">
        <f>Feuil1!F36</f>
        <v>7.9318180475366762E-3</v>
      </c>
      <c r="B51" s="17">
        <f>Feuil1!F22</f>
        <v>0.98152346564058313</v>
      </c>
      <c r="C51" s="17">
        <f>Feuil1!$N7</f>
        <v>0.25</v>
      </c>
      <c r="D51" s="17">
        <f>Feuil1!$P7</f>
        <v>-1.247E-2</v>
      </c>
      <c r="E51" s="17">
        <f>Feuil1!$O7</f>
        <v>1.023E-2</v>
      </c>
      <c r="F51" s="17">
        <f>Feuil1!$F$30</f>
        <v>1</v>
      </c>
    </row>
    <row r="52" spans="1:6" x14ac:dyDescent="0.15">
      <c r="A52" s="17">
        <f>Feuil1!F37</f>
        <v>9.3043327342472448E-3</v>
      </c>
      <c r="B52" s="17">
        <f>Feuil1!F23</f>
        <v>0.98241516661036976</v>
      </c>
      <c r="C52" s="17">
        <f>Feuil1!$N8</f>
        <v>0.33333333333333331</v>
      </c>
      <c r="D52" s="17">
        <f>Feuil1!$P8</f>
        <v>-1.1939999999999999E-2</v>
      </c>
      <c r="E52" s="17">
        <f>Feuil1!$O8</f>
        <v>1.065E-2</v>
      </c>
      <c r="F52" s="17">
        <f>Feuil1!$F$30</f>
        <v>1</v>
      </c>
    </row>
    <row r="53" spans="1:6" x14ac:dyDescent="0.15">
      <c r="A53" s="17">
        <f>Feuil1!F38</f>
        <v>1.0495730408993986E-2</v>
      </c>
      <c r="B53" s="17">
        <f>Feuil1!F24</f>
        <v>0.98272563929892198</v>
      </c>
      <c r="C53" s="17">
        <f>Feuil1!$N9</f>
        <v>0.41666666666666669</v>
      </c>
      <c r="D53" s="17">
        <f>Feuil1!$P9</f>
        <v>-1.2330000000000001E-2</v>
      </c>
      <c r="E53" s="17">
        <f>Feuil1!$O9</f>
        <v>1.094E-2</v>
      </c>
      <c r="F53" s="17">
        <f>Feuil1!$F$30</f>
        <v>1</v>
      </c>
    </row>
    <row r="54" spans="1:6" x14ac:dyDescent="0.15">
      <c r="A54" s="17">
        <f>Feuil1!F39</f>
        <v>1.1533566264886941E-2</v>
      </c>
      <c r="B54" s="17">
        <f>Feuil1!F25</f>
        <v>0.98297102751249377</v>
      </c>
      <c r="C54" s="17">
        <f>Feuil1!$N10</f>
        <v>0.5</v>
      </c>
      <c r="D54" s="17">
        <f>Feuil1!$P10</f>
        <v>-1.2200000000000001E-2</v>
      </c>
      <c r="E54" s="17">
        <f>Feuil1!$O10</f>
        <v>1.116E-2</v>
      </c>
      <c r="F54" s="17">
        <f>Feuil1!$F$30</f>
        <v>1</v>
      </c>
    </row>
    <row r="55" spans="1:6" x14ac:dyDescent="0.15">
      <c r="A55" s="17">
        <f>Feuil1!F40</f>
        <v>1.4336282582763982E-2</v>
      </c>
      <c r="B55" s="17">
        <f>Feuil1!F26</f>
        <v>0.98296796924439389</v>
      </c>
      <c r="C55" s="17">
        <f>Feuil1!$N11</f>
        <v>0.75</v>
      </c>
      <c r="D55" s="17">
        <f>Feuil1!$P11</f>
        <v>-1.242E-2</v>
      </c>
      <c r="E55" s="17">
        <f>Feuil1!$O11</f>
        <v>1.166E-2</v>
      </c>
      <c r="F55" s="17">
        <f>Feuil1!$F$30</f>
        <v>1</v>
      </c>
    </row>
    <row r="56" spans="1:6" x14ac:dyDescent="0.15">
      <c r="A56" s="17">
        <f>Feuil1!F41</f>
        <v>1.6710316102102885E-2</v>
      </c>
      <c r="B56" s="17">
        <f>Feuil1!F27</f>
        <v>0.98255164536748518</v>
      </c>
      <c r="C56" s="17">
        <f>Feuil1!$N12</f>
        <v>1</v>
      </c>
      <c r="D56" s="17">
        <f>Feuil1!$P12</f>
        <v>-1.2370000000000001E-2</v>
      </c>
      <c r="E56" s="17">
        <f>Feuil1!$O12</f>
        <v>1.197E-2</v>
      </c>
      <c r="F56" s="17">
        <f>Feuil1!$F$30</f>
        <v>1</v>
      </c>
    </row>
    <row r="57" spans="1:6" x14ac:dyDescent="0.15">
      <c r="A57" s="17">
        <f>Feuil1!G31</f>
        <v>3.7551250360313704E-3</v>
      </c>
      <c r="B57" s="17">
        <f>Feuil1!G17</f>
        <v>0.97267262168030033</v>
      </c>
      <c r="C57" s="17">
        <f>Feuil1!$N2</f>
        <v>1.9230769230769232E-2</v>
      </c>
      <c r="D57" s="17">
        <f>Feuil1!$P2</f>
        <v>-1.298E-2</v>
      </c>
      <c r="E57" s="17">
        <f>Feuil1!$O2</f>
        <v>7.0699999999999999E-3</v>
      </c>
      <c r="F57" s="17">
        <f>Feuil1!$G$30</f>
        <v>1</v>
      </c>
    </row>
    <row r="58" spans="1:6" x14ac:dyDescent="0.15">
      <c r="A58" s="17">
        <f>Feuil1!G32</f>
        <v>5.2765639638343576E-3</v>
      </c>
      <c r="B58" s="17">
        <f>Feuil1!G18</f>
        <v>0.97233323329132582</v>
      </c>
      <c r="C58" s="17">
        <f>Feuil1!$N3</f>
        <v>3.8461538461538464E-2</v>
      </c>
      <c r="D58" s="17">
        <f>Feuil1!$P3</f>
        <v>-1.453E-2</v>
      </c>
      <c r="E58" s="17">
        <f>Feuil1!$O3</f>
        <v>5.8399999999999997E-3</v>
      </c>
      <c r="F58" s="17">
        <f>Feuil1!$G$30</f>
        <v>1</v>
      </c>
    </row>
    <row r="59" spans="1:6" x14ac:dyDescent="0.15">
      <c r="A59" s="17">
        <f>Feuil1!G33</f>
        <v>6.7040565177738376E-3</v>
      </c>
      <c r="B59" s="17">
        <f>Feuil1!G19</f>
        <v>0.97201049533860739</v>
      </c>
      <c r="C59" s="17">
        <f>Feuil1!$N4</f>
        <v>5.7692307692307696E-2</v>
      </c>
      <c r="D59" s="17">
        <f>Feuil1!$P4</f>
        <v>-1.332E-2</v>
      </c>
      <c r="E59" s="17">
        <f>Feuil1!$O4</f>
        <v>7.1199999999999996E-3</v>
      </c>
      <c r="F59" s="17">
        <f>Feuil1!$G$30</f>
        <v>1</v>
      </c>
    </row>
    <row r="60" spans="1:6" x14ac:dyDescent="0.15">
      <c r="A60" s="17">
        <f>Feuil1!G34</f>
        <v>8.3239682750727573E-3</v>
      </c>
      <c r="B60" s="17">
        <f>Feuil1!G20</f>
        <v>0.97155472231840845</v>
      </c>
      <c r="C60" s="17">
        <f>Feuil1!$N5</f>
        <v>8.3333333333333329E-2</v>
      </c>
      <c r="D60" s="17">
        <f>Feuil1!$P5</f>
        <v>-1.225E-2</v>
      </c>
      <c r="E60" s="17">
        <f>Feuil1!$O5</f>
        <v>8.6700000000000006E-3</v>
      </c>
      <c r="F60" s="17">
        <f>Feuil1!$G$30</f>
        <v>1</v>
      </c>
    </row>
    <row r="61" spans="1:6" x14ac:dyDescent="0.15">
      <c r="A61" s="17">
        <f>Feuil1!G35</f>
        <v>1.108205688268904E-2</v>
      </c>
      <c r="B61" s="17">
        <f>Feuil1!G21</f>
        <v>0.96978694465119786</v>
      </c>
      <c r="C61" s="17">
        <f>Feuil1!$N6</f>
        <v>0.16666666666666666</v>
      </c>
      <c r="D61" s="17">
        <f>Feuil1!$P6</f>
        <v>-1.2749999999999999E-2</v>
      </c>
      <c r="E61" s="17">
        <f>Feuil1!$O6</f>
        <v>1.0019999999999999E-2</v>
      </c>
      <c r="F61" s="17">
        <f>Feuil1!$G$30</f>
        <v>1</v>
      </c>
    </row>
    <row r="62" spans="1:6" x14ac:dyDescent="0.15">
      <c r="A62" s="17">
        <f>Feuil1!G36</f>
        <v>1.3536926934717475E-2</v>
      </c>
      <c r="B62" s="17">
        <f>Feuil1!G22</f>
        <v>0.96822860052502679</v>
      </c>
      <c r="C62" s="17">
        <f>Feuil1!$N7</f>
        <v>0.25</v>
      </c>
      <c r="D62" s="17">
        <f>Feuil1!$P7</f>
        <v>-1.247E-2</v>
      </c>
      <c r="E62" s="17">
        <f>Feuil1!$O7</f>
        <v>1.023E-2</v>
      </c>
      <c r="F62" s="17">
        <f>Feuil1!$G$30</f>
        <v>1</v>
      </c>
    </row>
    <row r="63" spans="1:6" x14ac:dyDescent="0.15">
      <c r="A63" s="17">
        <f>Feuil1!G37</f>
        <v>1.5865022282389618E-2</v>
      </c>
      <c r="B63" s="17">
        <f>Feuil1!G23</f>
        <v>0.96674871637942439</v>
      </c>
      <c r="C63" s="17">
        <f>Feuil1!$N8</f>
        <v>0.33333333333333331</v>
      </c>
      <c r="D63" s="17">
        <f>Feuil1!$P8</f>
        <v>-1.1939999999999999E-2</v>
      </c>
      <c r="E63" s="17">
        <f>Feuil1!$O8</f>
        <v>1.065E-2</v>
      </c>
      <c r="F63" s="17">
        <f>Feuil1!$G$30</f>
        <v>1</v>
      </c>
    </row>
    <row r="64" spans="1:6" x14ac:dyDescent="0.15">
      <c r="A64" s="17">
        <f>Feuil1!G38</f>
        <v>1.787590089070723E-2</v>
      </c>
      <c r="B64" s="17">
        <f>Feuil1!G24</f>
        <v>0.96498620609439434</v>
      </c>
      <c r="C64" s="17">
        <f>Feuil1!$N9</f>
        <v>0.41666666666666669</v>
      </c>
      <c r="D64" s="17">
        <f>Feuil1!$P9</f>
        <v>-1.2330000000000001E-2</v>
      </c>
      <c r="E64" s="17">
        <f>Feuil1!$O9</f>
        <v>1.094E-2</v>
      </c>
      <c r="F64" s="17">
        <f>Feuil1!$G$30</f>
        <v>1</v>
      </c>
    </row>
    <row r="65" spans="1:6" x14ac:dyDescent="0.15">
      <c r="A65" s="17">
        <f>Feuil1!G39</f>
        <v>1.9636033997395053E-2</v>
      </c>
      <c r="B65" s="17">
        <f>Feuil1!G25</f>
        <v>0.96341066472103121</v>
      </c>
      <c r="C65" s="17">
        <f>Feuil1!$N10</f>
        <v>0.5</v>
      </c>
      <c r="D65" s="17">
        <f>Feuil1!$P10</f>
        <v>-1.2200000000000001E-2</v>
      </c>
      <c r="E65" s="17">
        <f>Feuil1!$O10</f>
        <v>1.116E-2</v>
      </c>
      <c r="F65" s="17">
        <f>Feuil1!$G$30</f>
        <v>1</v>
      </c>
    </row>
    <row r="66" spans="1:6" x14ac:dyDescent="0.15">
      <c r="A66" s="17">
        <f>Feuil1!G40</f>
        <v>2.4371092602781641E-2</v>
      </c>
      <c r="B66" s="17">
        <f>Feuil1!G26</f>
        <v>0.95842628638051774</v>
      </c>
      <c r="C66" s="17">
        <f>Feuil1!$N11</f>
        <v>0.75</v>
      </c>
      <c r="D66" s="17">
        <f>Feuil1!$P11</f>
        <v>-1.242E-2</v>
      </c>
      <c r="E66" s="17">
        <f>Feuil1!$O11</f>
        <v>1.166E-2</v>
      </c>
      <c r="F66" s="17">
        <f>Feuil1!$G$30</f>
        <v>1</v>
      </c>
    </row>
    <row r="67" spans="1:6" x14ac:dyDescent="0.15">
      <c r="A67" s="17">
        <f>Feuil1!G41</f>
        <v>2.8359363649375469E-2</v>
      </c>
      <c r="B67" s="17">
        <f>Feuil1!G27</f>
        <v>0.95370104139187573</v>
      </c>
      <c r="C67" s="17">
        <f>Feuil1!$N12</f>
        <v>1</v>
      </c>
      <c r="D67" s="17">
        <f>Feuil1!$P12</f>
        <v>-1.2370000000000001E-2</v>
      </c>
      <c r="E67" s="17">
        <f>Feuil1!$O12</f>
        <v>1.197E-2</v>
      </c>
      <c r="F67" s="17">
        <f>Feuil1!$G$30</f>
        <v>1</v>
      </c>
    </row>
    <row r="68" spans="1:6" x14ac:dyDescent="0.15">
      <c r="A68" s="17">
        <f>Feuil1!H31</f>
        <v>2.3087992129434132E-3</v>
      </c>
      <c r="B68" s="17">
        <f>Feuil1!H17</f>
        <v>0.96892357526984352</v>
      </c>
      <c r="C68" s="17">
        <f>Feuil1!$N2</f>
        <v>1.9230769230769232E-2</v>
      </c>
      <c r="D68" s="17">
        <f>Feuil1!$P2</f>
        <v>-1.298E-2</v>
      </c>
      <c r="E68" s="17">
        <f>Feuil1!$O2</f>
        <v>7.0699999999999999E-3</v>
      </c>
      <c r="F68" s="17">
        <f>Feuil1!$H$30</f>
        <v>-1</v>
      </c>
    </row>
    <row r="69" spans="1:6" x14ac:dyDescent="0.15">
      <c r="A69" s="17">
        <f>Feuil1!H32</f>
        <v>3.2769605093144194E-3</v>
      </c>
      <c r="B69" s="17">
        <f>Feuil1!H18</f>
        <v>0.96702928117007625</v>
      </c>
      <c r="C69" s="17">
        <f>Feuil1!$N3</f>
        <v>3.8461538461538464E-2</v>
      </c>
      <c r="D69" s="17">
        <f>Feuil1!$P3</f>
        <v>-1.453E-2</v>
      </c>
      <c r="E69" s="17">
        <f>Feuil1!$O3</f>
        <v>5.8399999999999997E-3</v>
      </c>
      <c r="F69" s="17">
        <f>Feuil1!$H$30</f>
        <v>-1</v>
      </c>
    </row>
    <row r="70" spans="1:6" x14ac:dyDescent="0.15">
      <c r="A70" s="17">
        <f>Feuil1!H33</f>
        <v>4.1679027263707424E-3</v>
      </c>
      <c r="B70" s="17">
        <f>Feuil1!H19</f>
        <v>0.96527715116369761</v>
      </c>
      <c r="C70" s="17">
        <f>Feuil1!$N4</f>
        <v>5.7692307692307696E-2</v>
      </c>
      <c r="D70" s="17">
        <f>Feuil1!$P4</f>
        <v>-1.332E-2</v>
      </c>
      <c r="E70" s="17">
        <f>Feuil1!$O4</f>
        <v>7.1199999999999996E-3</v>
      </c>
      <c r="F70" s="17">
        <f>Feuil1!$H$30</f>
        <v>-1</v>
      </c>
    </row>
    <row r="71" spans="1:6" x14ac:dyDescent="0.15">
      <c r="A71" s="17">
        <f>Feuil1!H34</f>
        <v>5.2002921456187345E-3</v>
      </c>
      <c r="B71" s="17">
        <f>Feuil1!H20</f>
        <v>0.9631670700484628</v>
      </c>
      <c r="C71" s="17">
        <f>Feuil1!$N5</f>
        <v>8.3333333333333329E-2</v>
      </c>
      <c r="D71" s="17">
        <f>Feuil1!$P5</f>
        <v>-1.225E-2</v>
      </c>
      <c r="E71" s="17">
        <f>Feuil1!$O5</f>
        <v>8.6700000000000006E-3</v>
      </c>
      <c r="F71" s="17">
        <f>Feuil1!$H$30</f>
        <v>-1</v>
      </c>
    </row>
    <row r="72" spans="1:6" x14ac:dyDescent="0.15">
      <c r="A72" s="17">
        <f>Feuil1!H35</f>
        <v>7.0149443541963064E-3</v>
      </c>
      <c r="B72" s="17">
        <f>Feuil1!H21</f>
        <v>0.9584838607868883</v>
      </c>
      <c r="C72" s="17">
        <f>Feuil1!$N6</f>
        <v>0.16666666666666666</v>
      </c>
      <c r="D72" s="17">
        <f>Feuil1!$P6</f>
        <v>-1.2749999999999999E-2</v>
      </c>
      <c r="E72" s="17">
        <f>Feuil1!$O6</f>
        <v>1.0019999999999999E-2</v>
      </c>
      <c r="F72" s="17">
        <f>Feuil1!$H$30</f>
        <v>-1</v>
      </c>
    </row>
    <row r="73" spans="1:6" x14ac:dyDescent="0.15">
      <c r="A73" s="17">
        <f>Feuil1!H36</f>
        <v>8.6709589094867145E-3</v>
      </c>
      <c r="B73" s="17">
        <f>Feuil1!H22</f>
        <v>0.95426910302592938</v>
      </c>
      <c r="C73" s="17">
        <f>Feuil1!$N7</f>
        <v>0.25</v>
      </c>
      <c r="D73" s="17">
        <f>Feuil1!$P7</f>
        <v>-1.247E-2</v>
      </c>
      <c r="E73" s="17">
        <f>Feuil1!$O7</f>
        <v>1.023E-2</v>
      </c>
      <c r="F73" s="17">
        <f>Feuil1!$H$30</f>
        <v>-1</v>
      </c>
    </row>
    <row r="74" spans="1:6" x14ac:dyDescent="0.15">
      <c r="A74" s="17">
        <f>Feuil1!H37</f>
        <v>1.024509471631474E-2</v>
      </c>
      <c r="B74" s="17">
        <f>Feuil1!H23</f>
        <v>0.95024571375793465</v>
      </c>
      <c r="C74" s="17">
        <f>Feuil1!$N8</f>
        <v>0.33333333333333331</v>
      </c>
      <c r="D74" s="17">
        <f>Feuil1!$P8</f>
        <v>-1.1939999999999999E-2</v>
      </c>
      <c r="E74" s="17">
        <f>Feuil1!$O8</f>
        <v>1.065E-2</v>
      </c>
      <c r="F74" s="17">
        <f>Feuil1!$H$30</f>
        <v>-1</v>
      </c>
    </row>
    <row r="75" spans="1:6" x14ac:dyDescent="0.15">
      <c r="A75" s="17">
        <f>Feuil1!H38</f>
        <v>1.1634517911307984E-2</v>
      </c>
      <c r="B75" s="17">
        <f>Feuil1!H24</f>
        <v>0.94622786222627908</v>
      </c>
      <c r="C75" s="17">
        <f>Feuil1!$N9</f>
        <v>0.41666666666666669</v>
      </c>
      <c r="D75" s="17">
        <f>Feuil1!$P9</f>
        <v>-1.2330000000000001E-2</v>
      </c>
      <c r="E75" s="17">
        <f>Feuil1!$O9</f>
        <v>1.094E-2</v>
      </c>
      <c r="F75" s="17">
        <f>Feuil1!$H$30</f>
        <v>-1</v>
      </c>
    </row>
    <row r="76" spans="1:6" x14ac:dyDescent="0.15">
      <c r="A76" s="17">
        <f>Feuil1!H39</f>
        <v>1.2868313516620322E-2</v>
      </c>
      <c r="B76" s="17">
        <f>Feuil1!H25</f>
        <v>0.94262716601504248</v>
      </c>
      <c r="C76" s="17">
        <f>Feuil1!$N10</f>
        <v>0.5</v>
      </c>
      <c r="D76" s="17">
        <f>Feuil1!$P10</f>
        <v>-1.2200000000000001E-2</v>
      </c>
      <c r="E76" s="17">
        <f>Feuil1!$O10</f>
        <v>1.116E-2</v>
      </c>
      <c r="F76" s="17">
        <f>Feuil1!$H$30</f>
        <v>-1</v>
      </c>
    </row>
    <row r="77" spans="1:6" x14ac:dyDescent="0.15">
      <c r="A77" s="17">
        <f>Feuil1!H40</f>
        <v>1.6276577445318963E-2</v>
      </c>
      <c r="B77" s="17">
        <f>Feuil1!H26</f>
        <v>0.93196962948538042</v>
      </c>
      <c r="C77" s="17">
        <f>Feuil1!$N11</f>
        <v>0.75</v>
      </c>
      <c r="D77" s="17">
        <f>Feuil1!$P11</f>
        <v>-1.242E-2</v>
      </c>
      <c r="E77" s="17">
        <f>Feuil1!$O11</f>
        <v>1.166E-2</v>
      </c>
      <c r="F77" s="17">
        <f>Feuil1!$H$30</f>
        <v>-1</v>
      </c>
    </row>
    <row r="78" spans="1:6" x14ac:dyDescent="0.15">
      <c r="A78" s="17">
        <f>Feuil1!H41</f>
        <v>1.9218908945284829E-2</v>
      </c>
      <c r="B78" s="17">
        <f>Feuil1!H27</f>
        <v>0.92218941913892027</v>
      </c>
      <c r="C78" s="17">
        <f>Feuil1!$N12</f>
        <v>1</v>
      </c>
      <c r="D78" s="17">
        <f>Feuil1!$P12</f>
        <v>-1.2370000000000001E-2</v>
      </c>
      <c r="E78" s="17">
        <f>Feuil1!$O12</f>
        <v>1.197E-2</v>
      </c>
      <c r="F78" s="17">
        <f>Feuil1!$H$30</f>
        <v>-1</v>
      </c>
    </row>
    <row r="79" spans="1:6" x14ac:dyDescent="0.15">
      <c r="A79" s="17">
        <f>Feuil1!I31</f>
        <v>1.5089030812921456E-3</v>
      </c>
      <c r="B79" s="17">
        <f>Feuil1!I17</f>
        <v>0.96591156777051423</v>
      </c>
      <c r="C79" s="17">
        <f>Feuil1!$N2</f>
        <v>1.9230769230769232E-2</v>
      </c>
      <c r="D79" s="17">
        <f>Feuil1!$P2</f>
        <v>-1.298E-2</v>
      </c>
      <c r="E79" s="17">
        <f>Feuil1!$O2</f>
        <v>7.0699999999999999E-3</v>
      </c>
      <c r="F79" s="17">
        <f>Feuil1!$I$30</f>
        <v>-1</v>
      </c>
    </row>
    <row r="80" spans="1:6" x14ac:dyDescent="0.15">
      <c r="A80" s="17">
        <f>Feuil1!I32</f>
        <v>2.1528014234432069E-3</v>
      </c>
      <c r="B80" s="17">
        <f>Feuil1!I18</f>
        <v>0.96272691031617674</v>
      </c>
      <c r="C80" s="17">
        <f>Feuil1!$N3</f>
        <v>3.8461538461538464E-2</v>
      </c>
      <c r="D80" s="17">
        <f>Feuil1!$P3</f>
        <v>-1.453E-2</v>
      </c>
      <c r="E80" s="17">
        <f>Feuil1!$O3</f>
        <v>5.8399999999999997E-3</v>
      </c>
      <c r="F80" s="17">
        <f>Feuil1!$I$30</f>
        <v>-1</v>
      </c>
    </row>
    <row r="81" spans="1:6" x14ac:dyDescent="0.15">
      <c r="A81" s="17">
        <f>Feuil1!I33</f>
        <v>2.7296411503218987E-3</v>
      </c>
      <c r="B81" s="17">
        <f>Feuil1!I19</f>
        <v>0.95986523501890053</v>
      </c>
      <c r="C81" s="17">
        <f>Feuil1!$N4</f>
        <v>5.7692307692307696E-2</v>
      </c>
      <c r="D81" s="17">
        <f>Feuil1!$P4</f>
        <v>-1.332E-2</v>
      </c>
      <c r="E81" s="17">
        <f>Feuil1!$O4</f>
        <v>7.1199999999999996E-3</v>
      </c>
      <c r="F81" s="17">
        <f>Feuil1!$I$30</f>
        <v>-1</v>
      </c>
    </row>
    <row r="82" spans="1:6" x14ac:dyDescent="0.15">
      <c r="A82" s="17">
        <f>Feuil1!I34</f>
        <v>3.4073043953422588E-3</v>
      </c>
      <c r="B82" s="17">
        <f>Feuil1!I20</f>
        <v>0.95644162932464094</v>
      </c>
      <c r="C82" s="17">
        <f>Feuil1!$N5</f>
        <v>8.3333333333333329E-2</v>
      </c>
      <c r="D82" s="17">
        <f>Feuil1!$P5</f>
        <v>-1.225E-2</v>
      </c>
      <c r="E82" s="17">
        <f>Feuil1!$O5</f>
        <v>8.6700000000000006E-3</v>
      </c>
      <c r="F82" s="17">
        <f>Feuil1!$I$30</f>
        <v>-1</v>
      </c>
    </row>
    <row r="83" spans="1:6" x14ac:dyDescent="0.15">
      <c r="A83" s="17">
        <f>Feuil1!I35</f>
        <v>4.6242811404398898E-3</v>
      </c>
      <c r="B83" s="17">
        <f>Feuil1!I21</f>
        <v>0.94937858578737233</v>
      </c>
      <c r="C83" s="17">
        <f>Feuil1!$N6</f>
        <v>0.16666666666666666</v>
      </c>
      <c r="D83" s="17">
        <f>Feuil1!$P6</f>
        <v>-1.2749999999999999E-2</v>
      </c>
      <c r="E83" s="17">
        <f>Feuil1!$O6</f>
        <v>1.0019999999999999E-2</v>
      </c>
      <c r="F83" s="17">
        <f>Feuil1!$I$30</f>
        <v>-1</v>
      </c>
    </row>
    <row r="84" spans="1:6" x14ac:dyDescent="0.15">
      <c r="A84" s="17">
        <f>Feuil1!I36</f>
        <v>5.7427345484201142E-3</v>
      </c>
      <c r="B84" s="17">
        <f>Feuil1!I22</f>
        <v>0.94300061552198911</v>
      </c>
      <c r="C84" s="17">
        <f>Feuil1!$N7</f>
        <v>0.25</v>
      </c>
      <c r="D84" s="17">
        <f>Feuil1!$P7</f>
        <v>-1.247E-2</v>
      </c>
      <c r="E84" s="17">
        <f>Feuil1!$O7</f>
        <v>1.023E-2</v>
      </c>
      <c r="F84" s="17">
        <f>Feuil1!$I$30</f>
        <v>-1</v>
      </c>
    </row>
    <row r="85" spans="1:6" x14ac:dyDescent="0.15">
      <c r="A85" s="17">
        <f>Feuil1!I37</f>
        <v>6.7858652707031286E-3</v>
      </c>
      <c r="B85" s="17">
        <f>Feuil1!I23</f>
        <v>0.9370331689666016</v>
      </c>
      <c r="C85" s="17">
        <f>Feuil1!$N8</f>
        <v>0.33333333333333331</v>
      </c>
      <c r="D85" s="17">
        <f>Feuil1!$P8</f>
        <v>-1.1939999999999999E-2</v>
      </c>
      <c r="E85" s="17">
        <f>Feuil1!$O8</f>
        <v>1.065E-2</v>
      </c>
      <c r="F85" s="17">
        <f>Feuil1!$I$30</f>
        <v>-1</v>
      </c>
    </row>
    <row r="86" spans="1:6" x14ac:dyDescent="0.15">
      <c r="A86" s="17">
        <f>Feuil1!I38</f>
        <v>7.7199888001476258E-3</v>
      </c>
      <c r="B86" s="17">
        <f>Feuil1!I24</f>
        <v>0.93127769567661001</v>
      </c>
      <c r="C86" s="17">
        <f>Feuil1!$N9</f>
        <v>0.41666666666666669</v>
      </c>
      <c r="D86" s="17">
        <f>Feuil1!$P9</f>
        <v>-1.2330000000000001E-2</v>
      </c>
      <c r="E86" s="17">
        <f>Feuil1!$O9</f>
        <v>1.094E-2</v>
      </c>
      <c r="F86" s="17">
        <f>Feuil1!$I$30</f>
        <v>-1</v>
      </c>
    </row>
    <row r="87" spans="1:6" x14ac:dyDescent="0.15">
      <c r="A87" s="17">
        <f>Feuil1!I39</f>
        <v>8.5549620276047511E-3</v>
      </c>
      <c r="B87" s="17">
        <f>Feuil1!I25</f>
        <v>0.92613287010990231</v>
      </c>
      <c r="C87" s="17">
        <f>Feuil1!$N10</f>
        <v>0.5</v>
      </c>
      <c r="D87" s="17">
        <f>Feuil1!$P10</f>
        <v>-1.2200000000000001E-2</v>
      </c>
      <c r="E87" s="17">
        <f>Feuil1!$O10</f>
        <v>1.116E-2</v>
      </c>
      <c r="F87" s="17">
        <f>Feuil1!$I$30</f>
        <v>-1</v>
      </c>
    </row>
    <row r="88" spans="1:6" x14ac:dyDescent="0.15">
      <c r="A88" s="17">
        <f>Feuil1!I40</f>
        <v>1.0862714376258131E-2</v>
      </c>
      <c r="B88" s="17">
        <f>Feuil1!I26</f>
        <v>0.91131917838515197</v>
      </c>
      <c r="C88" s="17">
        <f>Feuil1!$N11</f>
        <v>0.75</v>
      </c>
      <c r="D88" s="17">
        <f>Feuil1!$P11</f>
        <v>-1.242E-2</v>
      </c>
      <c r="E88" s="17">
        <f>Feuil1!$O11</f>
        <v>1.166E-2</v>
      </c>
      <c r="F88" s="17">
        <f>Feuil1!$I$30</f>
        <v>-1</v>
      </c>
    </row>
    <row r="89" spans="1:6" x14ac:dyDescent="0.15">
      <c r="A89" s="17">
        <f>Feuil1!I41</f>
        <v>1.2846009159421329E-2</v>
      </c>
      <c r="B89" s="17">
        <f>Feuil1!I27</f>
        <v>0.8981069922912015</v>
      </c>
      <c r="C89" s="17">
        <f>Feuil1!$N12</f>
        <v>1</v>
      </c>
      <c r="D89" s="17">
        <f>Feuil1!$P12</f>
        <v>-1.2370000000000001E-2</v>
      </c>
      <c r="E89" s="17">
        <f>Feuil1!$O12</f>
        <v>1.197E-2</v>
      </c>
      <c r="F89" s="17">
        <f>Feuil1!$I$30</f>
        <v>-1</v>
      </c>
    </row>
    <row r="90" spans="1:6" x14ac:dyDescent="0.15">
      <c r="A90" s="17">
        <f>Feuil1!J31</f>
        <v>8.2363964076800911E-4</v>
      </c>
      <c r="B90" s="17">
        <f>Feuil1!J17</f>
        <v>0.96180857856298063</v>
      </c>
      <c r="C90" s="17">
        <f>Feuil1!$N2</f>
        <v>1.9230769230769232E-2</v>
      </c>
      <c r="D90" s="17">
        <f>Feuil1!$P2</f>
        <v>-1.298E-2</v>
      </c>
      <c r="E90" s="17">
        <f>Feuil1!$O2</f>
        <v>7.0699999999999999E-3</v>
      </c>
      <c r="F90" s="17">
        <f>Feuil1!$J$30</f>
        <v>-1</v>
      </c>
    </row>
    <row r="91" spans="1:6" x14ac:dyDescent="0.15">
      <c r="A91" s="17">
        <f>Feuil1!J32</f>
        <v>1.1811963569764994E-3</v>
      </c>
      <c r="B91" s="17">
        <f>Feuil1!J18</f>
        <v>0.95683285200823165</v>
      </c>
      <c r="C91" s="17">
        <f>Feuil1!$N3</f>
        <v>3.8461538461538464E-2</v>
      </c>
      <c r="D91" s="17">
        <f>Feuil1!$P3</f>
        <v>-1.453E-2</v>
      </c>
      <c r="E91" s="17">
        <f>Feuil1!$O3</f>
        <v>5.8399999999999997E-3</v>
      </c>
      <c r="F91" s="17">
        <f>Feuil1!$J$30</f>
        <v>-1</v>
      </c>
    </row>
    <row r="92" spans="1:6" x14ac:dyDescent="0.15">
      <c r="A92" s="17">
        <f>Feuil1!J33</f>
        <v>1.4896757710584074E-3</v>
      </c>
      <c r="B92" s="17">
        <f>Feuil1!J19</f>
        <v>0.9525349869872215</v>
      </c>
      <c r="C92" s="17">
        <f>Feuil1!$N4</f>
        <v>5.7692307692307696E-2</v>
      </c>
      <c r="D92" s="17">
        <f>Feuil1!$P4</f>
        <v>-1.332E-2</v>
      </c>
      <c r="E92" s="17">
        <f>Feuil1!$O4</f>
        <v>7.1199999999999996E-3</v>
      </c>
      <c r="F92" s="17">
        <f>Feuil1!$J$30</f>
        <v>-1</v>
      </c>
    </row>
    <row r="93" spans="1:6" x14ac:dyDescent="0.15">
      <c r="A93" s="17">
        <f>Feuil1!J34</f>
        <v>1.8693244410269705E-3</v>
      </c>
      <c r="B93" s="17">
        <f>Feuil1!J20</f>
        <v>0.9472281045815949</v>
      </c>
      <c r="C93" s="17">
        <f>Feuil1!$N5</f>
        <v>8.3333333333333329E-2</v>
      </c>
      <c r="D93" s="17">
        <f>Feuil1!$P5</f>
        <v>-1.225E-2</v>
      </c>
      <c r="E93" s="17">
        <f>Feuil1!$O5</f>
        <v>8.6700000000000006E-3</v>
      </c>
      <c r="F93" s="17">
        <f>Feuil1!$J$30</f>
        <v>-1</v>
      </c>
    </row>
    <row r="94" spans="1:6" x14ac:dyDescent="0.15">
      <c r="A94" s="17">
        <f>Feuil1!J35</f>
        <v>2.5556562744271927E-3</v>
      </c>
      <c r="B94" s="17">
        <f>Feuil1!J21</f>
        <v>0.93679701954919936</v>
      </c>
      <c r="C94" s="17">
        <f>Feuil1!$N6</f>
        <v>0.16666666666666666</v>
      </c>
      <c r="D94" s="17">
        <f>Feuil1!$P6</f>
        <v>-1.2749999999999999E-2</v>
      </c>
      <c r="E94" s="17">
        <f>Feuil1!$O6</f>
        <v>1.0019999999999999E-2</v>
      </c>
      <c r="F94" s="17">
        <f>Feuil1!$J$30</f>
        <v>-1</v>
      </c>
    </row>
    <row r="95" spans="1:6" x14ac:dyDescent="0.15">
      <c r="A95" s="17">
        <f>Feuil1!J36</f>
        <v>3.1999727088692365E-3</v>
      </c>
      <c r="B95" s="17">
        <f>Feuil1!J22</f>
        <v>0.92723864130280687</v>
      </c>
      <c r="C95" s="17">
        <f>Feuil1!$N7</f>
        <v>0.25</v>
      </c>
      <c r="D95" s="17">
        <f>Feuil1!$P7</f>
        <v>-1.247E-2</v>
      </c>
      <c r="E95" s="17">
        <f>Feuil1!$O7</f>
        <v>1.023E-2</v>
      </c>
      <c r="F95" s="17">
        <f>Feuil1!$J$30</f>
        <v>-1</v>
      </c>
    </row>
    <row r="96" spans="1:6" x14ac:dyDescent="0.15">
      <c r="A96" s="17">
        <f>Feuil1!J37</f>
        <v>3.7840347583938394E-3</v>
      </c>
      <c r="B96" s="17">
        <f>Feuil1!J23</f>
        <v>0.91856713640193122</v>
      </c>
      <c r="C96" s="17">
        <f>Feuil1!$N8</f>
        <v>0.33333333333333331</v>
      </c>
      <c r="D96" s="17">
        <f>Feuil1!$P8</f>
        <v>-1.1939999999999999E-2</v>
      </c>
      <c r="E96" s="17">
        <f>Feuil1!$O8</f>
        <v>1.065E-2</v>
      </c>
      <c r="F96" s="17">
        <f>Feuil1!$J$30</f>
        <v>-1</v>
      </c>
    </row>
    <row r="97" spans="1:6" x14ac:dyDescent="0.15">
      <c r="A97" s="17">
        <f>Feuil1!J38</f>
        <v>4.3257659083529021E-3</v>
      </c>
      <c r="B97" s="17">
        <f>Feuil1!J24</f>
        <v>0.91023202916167034</v>
      </c>
      <c r="C97" s="17">
        <f>Feuil1!$N9</f>
        <v>0.41666666666666669</v>
      </c>
      <c r="D97" s="17">
        <f>Feuil1!$P9</f>
        <v>-1.2330000000000001E-2</v>
      </c>
      <c r="E97" s="17">
        <f>Feuil1!$O9</f>
        <v>1.094E-2</v>
      </c>
      <c r="F97" s="17">
        <f>Feuil1!$J$30</f>
        <v>-1</v>
      </c>
    </row>
    <row r="98" spans="1:6" x14ac:dyDescent="0.15">
      <c r="A98" s="17">
        <f>Feuil1!J39</f>
        <v>4.808623392315442E-3</v>
      </c>
      <c r="B98" s="17">
        <f>Feuil1!J25</f>
        <v>0.90283899279116964</v>
      </c>
      <c r="C98" s="17">
        <f>Feuil1!$N10</f>
        <v>0.5</v>
      </c>
      <c r="D98" s="17">
        <f>Feuil1!$P10</f>
        <v>-1.2200000000000001E-2</v>
      </c>
      <c r="E98" s="17">
        <f>Feuil1!$O10</f>
        <v>1.116E-2</v>
      </c>
      <c r="F98" s="17">
        <f>Feuil1!$J$30</f>
        <v>-1</v>
      </c>
    </row>
    <row r="99" spans="1:6" x14ac:dyDescent="0.15">
      <c r="A99" s="17">
        <f>Feuil1!J40</f>
        <v>6.1451459830631772E-3</v>
      </c>
      <c r="B99" s="17">
        <f>Feuil1!J26</f>
        <v>0.88201289807730487</v>
      </c>
      <c r="C99" s="17">
        <f>Feuil1!$N11</f>
        <v>0.75</v>
      </c>
      <c r="D99" s="17">
        <f>Feuil1!$P11</f>
        <v>-1.242E-2</v>
      </c>
      <c r="E99" s="17">
        <f>Feuil1!$O11</f>
        <v>1.166E-2</v>
      </c>
      <c r="F99" s="17">
        <f>Feuil1!$J$30</f>
        <v>-1</v>
      </c>
    </row>
    <row r="100" spans="1:6" x14ac:dyDescent="0.15">
      <c r="A100" s="17">
        <f>Feuil1!J41</f>
        <v>7.297813230407818E-3</v>
      </c>
      <c r="B100" s="17">
        <f>Feuil1!J27</f>
        <v>0.86383715601299693</v>
      </c>
      <c r="C100" s="17">
        <f>Feuil1!$N12</f>
        <v>1</v>
      </c>
      <c r="D100" s="17">
        <f>Feuil1!$P12</f>
        <v>-1.2370000000000001E-2</v>
      </c>
      <c r="E100" s="17">
        <f>Feuil1!$O12</f>
        <v>1.197E-2</v>
      </c>
      <c r="F100" s="17">
        <f>Feuil1!$J$30</f>
        <v>-1</v>
      </c>
    </row>
    <row r="101" spans="1:6" x14ac:dyDescent="0.15">
      <c r="A101" s="17">
        <f>Feuil1!K31</f>
        <v>5.1808931029985461E-4</v>
      </c>
      <c r="B101" s="17">
        <f>Feuil1!K17</f>
        <v>0.95882589311641819</v>
      </c>
      <c r="C101" s="17">
        <f>Feuil1!$N2</f>
        <v>1.9230769230769232E-2</v>
      </c>
      <c r="D101" s="17">
        <f>Feuil1!$P2</f>
        <v>-1.298E-2</v>
      </c>
      <c r="E101" s="17">
        <f>Feuil1!$O2</f>
        <v>7.0699999999999999E-3</v>
      </c>
      <c r="F101" s="17">
        <f>Feuil1!$K$30</f>
        <v>-1</v>
      </c>
    </row>
    <row r="102" spans="1:6" x14ac:dyDescent="0.15">
      <c r="A102" s="17">
        <f>Feuil1!K32</f>
        <v>7.4512820065521235E-4</v>
      </c>
      <c r="B102" s="17">
        <f>Feuil1!K18</f>
        <v>0.95253420320723525</v>
      </c>
      <c r="C102" s="17">
        <f>Feuil1!$N3</f>
        <v>3.8461538461538464E-2</v>
      </c>
      <c r="D102" s="17">
        <f>Feuil1!$P3</f>
        <v>-1.453E-2</v>
      </c>
      <c r="E102" s="17">
        <f>Feuil1!$O3</f>
        <v>5.8399999999999997E-3</v>
      </c>
      <c r="F102" s="17">
        <f>Feuil1!$K$30</f>
        <v>-1</v>
      </c>
    </row>
    <row r="103" spans="1:6" x14ac:dyDescent="0.15">
      <c r="A103" s="17">
        <f>Feuil1!K33</f>
        <v>9.3697386520173731E-4</v>
      </c>
      <c r="B103" s="17">
        <f>Feuil1!K19</f>
        <v>0.94722034510625608</v>
      </c>
      <c r="C103" s="17">
        <f>Feuil1!$N4</f>
        <v>5.7692307692307696E-2</v>
      </c>
      <c r="D103" s="17">
        <f>Feuil1!$P4</f>
        <v>-1.332E-2</v>
      </c>
      <c r="E103" s="17">
        <f>Feuil1!$O4</f>
        <v>7.1199999999999996E-3</v>
      </c>
      <c r="F103" s="17">
        <f>Feuil1!$K$30</f>
        <v>-1</v>
      </c>
    </row>
    <row r="104" spans="1:6" x14ac:dyDescent="0.15">
      <c r="A104" s="17">
        <f>Feuil1!K34</f>
        <v>1.179703870182694E-3</v>
      </c>
      <c r="B104" s="17">
        <f>Feuil1!K20</f>
        <v>0.94051368122476009</v>
      </c>
      <c r="C104" s="17">
        <f>Feuil1!$N5</f>
        <v>8.3333333333333329E-2</v>
      </c>
      <c r="D104" s="17">
        <f>Feuil1!$P5</f>
        <v>-1.225E-2</v>
      </c>
      <c r="E104" s="17">
        <f>Feuil1!$O5</f>
        <v>8.6700000000000006E-3</v>
      </c>
      <c r="F104" s="17">
        <f>Feuil1!$K$30</f>
        <v>-1</v>
      </c>
    </row>
    <row r="105" spans="1:6" x14ac:dyDescent="0.15">
      <c r="A105" s="17">
        <f>Feuil1!K35</f>
        <v>1.6207042793104087E-3</v>
      </c>
      <c r="B105" s="17">
        <f>Feuil1!K21</f>
        <v>0.92756191701531299</v>
      </c>
      <c r="C105" s="17">
        <f>Feuil1!$N6</f>
        <v>0.16666666666666666</v>
      </c>
      <c r="D105" s="17">
        <f>Feuil1!$P6</f>
        <v>-1.2749999999999999E-2</v>
      </c>
      <c r="E105" s="17">
        <f>Feuil1!$O6</f>
        <v>1.0019999999999999E-2</v>
      </c>
      <c r="F105" s="17">
        <f>Feuil1!$K$30</f>
        <v>-1</v>
      </c>
    </row>
    <row r="106" spans="1:6" x14ac:dyDescent="0.15">
      <c r="A106" s="17">
        <f>Feuil1!K36</f>
        <v>2.0398332638674049E-3</v>
      </c>
      <c r="B106" s="17">
        <f>Feuil1!K22</f>
        <v>0.91558708295977342</v>
      </c>
      <c r="C106" s="17">
        <f>Feuil1!$N7</f>
        <v>0.25</v>
      </c>
      <c r="D106" s="17">
        <f>Feuil1!$P7</f>
        <v>-1.247E-2</v>
      </c>
      <c r="E106" s="17">
        <f>Feuil1!$O7</f>
        <v>1.023E-2</v>
      </c>
      <c r="F106" s="17">
        <f>Feuil1!$K$30</f>
        <v>-1</v>
      </c>
    </row>
    <row r="107" spans="1:6" x14ac:dyDescent="0.15">
      <c r="A107" s="17">
        <f>Feuil1!K37</f>
        <v>2.4139672677447599E-3</v>
      </c>
      <c r="B107" s="17">
        <f>Feuil1!K23</f>
        <v>0.90492222799631616</v>
      </c>
      <c r="C107" s="17">
        <f>Feuil1!$N8</f>
        <v>0.33333333333333331</v>
      </c>
      <c r="D107" s="17">
        <f>Feuil1!$P8</f>
        <v>-1.1939999999999999E-2</v>
      </c>
      <c r="E107" s="17">
        <f>Feuil1!$O8</f>
        <v>1.065E-2</v>
      </c>
      <c r="F107" s="17">
        <f>Feuil1!$K$30</f>
        <v>-1</v>
      </c>
    </row>
    <row r="108" spans="1:6" x14ac:dyDescent="0.15">
      <c r="A108" s="17">
        <f>Feuil1!K38</f>
        <v>2.7765280549982702E-3</v>
      </c>
      <c r="B108" s="17">
        <f>Feuil1!K24</f>
        <v>0.89443437603617792</v>
      </c>
      <c r="C108" s="17">
        <f>Feuil1!$N9</f>
        <v>0.41666666666666669</v>
      </c>
      <c r="D108" s="17">
        <f>Feuil1!$P9</f>
        <v>-1.2330000000000001E-2</v>
      </c>
      <c r="E108" s="17">
        <f>Feuil1!$O9</f>
        <v>1.094E-2</v>
      </c>
      <c r="F108" s="17">
        <f>Feuil1!$K$30</f>
        <v>-1</v>
      </c>
    </row>
    <row r="109" spans="1:6" x14ac:dyDescent="0.15">
      <c r="A109" s="17">
        <f>Feuil1!K39</f>
        <v>3.0841279279795603E-3</v>
      </c>
      <c r="B109" s="17">
        <f>Feuil1!K25</f>
        <v>0.88551954247061304</v>
      </c>
      <c r="C109" s="17">
        <f>Feuil1!$N10</f>
        <v>0.5</v>
      </c>
      <c r="D109" s="17">
        <f>Feuil1!$P10</f>
        <v>-1.2200000000000001E-2</v>
      </c>
      <c r="E109" s="17">
        <f>Feuil1!$O10</f>
        <v>1.116E-2</v>
      </c>
      <c r="F109" s="17">
        <f>Feuil1!$K$30</f>
        <v>-1</v>
      </c>
    </row>
    <row r="110" spans="1:6" x14ac:dyDescent="0.15">
      <c r="A110" s="17">
        <f>Feuil1!K40</f>
        <v>3.9621697836335346E-3</v>
      </c>
      <c r="B110" s="17">
        <f>Feuil1!K26</f>
        <v>0.86009176779910701</v>
      </c>
      <c r="C110" s="17">
        <f>Feuil1!$N11</f>
        <v>0.75</v>
      </c>
      <c r="D110" s="17">
        <f>Feuil1!$P11</f>
        <v>-1.242E-2</v>
      </c>
      <c r="E110" s="17">
        <f>Feuil1!$O11</f>
        <v>1.166E-2</v>
      </c>
      <c r="F110" s="17">
        <f>Feuil1!$K$30</f>
        <v>-1</v>
      </c>
    </row>
    <row r="111" spans="1:6" x14ac:dyDescent="0.15">
      <c r="A111" s="17">
        <f>Feuil1!K41</f>
        <v>4.7208020266833323E-3</v>
      </c>
      <c r="B111" s="17">
        <f>Feuil1!K27</f>
        <v>0.83816090705730562</v>
      </c>
      <c r="C111" s="17">
        <f>Feuil1!$N12</f>
        <v>1</v>
      </c>
      <c r="D111" s="17">
        <f>Feuil1!$P12</f>
        <v>-1.2370000000000001E-2</v>
      </c>
      <c r="E111" s="17">
        <f>Feuil1!$O12</f>
        <v>1.197E-2</v>
      </c>
      <c r="F111" s="17">
        <f>Feuil1!$K$30</f>
        <v>-1</v>
      </c>
    </row>
    <row r="112" spans="1:6" x14ac:dyDescent="0.15">
      <c r="A112" s="17">
        <f>Feuil1!L31</f>
        <v>2.3919262847781758E-4</v>
      </c>
      <c r="B112" s="17">
        <f>Feuil1!L17</f>
        <v>0.95412236253652383</v>
      </c>
      <c r="C112" s="17">
        <f>Feuil1!$N2</f>
        <v>1.9230769230769232E-2</v>
      </c>
      <c r="D112" s="17">
        <f>Feuil1!$P2</f>
        <v>-1.298E-2</v>
      </c>
      <c r="E112" s="17">
        <f>Feuil1!$O2</f>
        <v>7.0699999999999999E-3</v>
      </c>
      <c r="F112" s="17">
        <f>Feuil1!$L$30</f>
        <v>-1</v>
      </c>
    </row>
    <row r="113" spans="1:6" x14ac:dyDescent="0.15">
      <c r="A113" s="17">
        <f>Feuil1!L32</f>
        <v>3.4572235233572279E-4</v>
      </c>
      <c r="B113" s="17">
        <f>Feuil1!L18</f>
        <v>0.945706136309856</v>
      </c>
      <c r="C113" s="17">
        <f>Feuil1!$N3</f>
        <v>3.8461538461538464E-2</v>
      </c>
      <c r="D113" s="17">
        <f>Feuil1!$P3</f>
        <v>-1.453E-2</v>
      </c>
      <c r="E113" s="17">
        <f>Feuil1!$O3</f>
        <v>5.8399999999999997E-3</v>
      </c>
      <c r="F113" s="17">
        <f>Feuil1!$L$30</f>
        <v>-1</v>
      </c>
    </row>
    <row r="114" spans="1:6" x14ac:dyDescent="0.15">
      <c r="A114" s="17">
        <f>Feuil1!L33</f>
        <v>4.3302514383743856E-4</v>
      </c>
      <c r="B114" s="17">
        <f>Feuil1!L19</f>
        <v>0.93882912818835584</v>
      </c>
      <c r="C114" s="17">
        <f>Feuil1!$N4</f>
        <v>5.7692307692307696E-2</v>
      </c>
      <c r="D114" s="17">
        <f>Feuil1!$P4</f>
        <v>-1.332E-2</v>
      </c>
      <c r="E114" s="17">
        <f>Feuil1!$O4</f>
        <v>7.1199999999999996E-3</v>
      </c>
      <c r="F114" s="17">
        <f>Feuil1!$L$30</f>
        <v>-1</v>
      </c>
    </row>
    <row r="115" spans="1:6" x14ac:dyDescent="0.15">
      <c r="A115" s="17">
        <f>Feuil1!L34</f>
        <v>5.4756729713249103E-4</v>
      </c>
      <c r="B115" s="17">
        <f>Feuil1!L20</f>
        <v>0.92988129751020909</v>
      </c>
      <c r="C115" s="17">
        <f>Feuil1!$N5</f>
        <v>8.3333333333333329E-2</v>
      </c>
      <c r="D115" s="17">
        <f>Feuil1!$P5</f>
        <v>-1.225E-2</v>
      </c>
      <c r="E115" s="17">
        <f>Feuil1!$O5</f>
        <v>8.6700000000000006E-3</v>
      </c>
      <c r="F115" s="17">
        <f>Feuil1!$L$30</f>
        <v>-1</v>
      </c>
    </row>
    <row r="116" spans="1:6" x14ac:dyDescent="0.15">
      <c r="A116" s="17">
        <f>Feuil1!L35</f>
        <v>7.5782960711096026E-4</v>
      </c>
      <c r="B116" s="17">
        <f>Feuil1!L21</f>
        <v>0.91282936836489825</v>
      </c>
      <c r="C116" s="17">
        <f>Feuil1!$N6</f>
        <v>0.16666666666666666</v>
      </c>
      <c r="D116" s="17">
        <f>Feuil1!$P6</f>
        <v>-1.2749999999999999E-2</v>
      </c>
      <c r="E116" s="17">
        <f>Feuil1!$O6</f>
        <v>1.0019999999999999E-2</v>
      </c>
      <c r="F116" s="17">
        <f>Feuil1!$L$30</f>
        <v>-1</v>
      </c>
    </row>
    <row r="117" spans="1:6" x14ac:dyDescent="0.15">
      <c r="A117" s="17">
        <f>Feuil1!L36</f>
        <v>9.6119958783768417E-4</v>
      </c>
      <c r="B117" s="17">
        <f>Feuil1!L22</f>
        <v>0.89686287974953516</v>
      </c>
      <c r="C117" s="17">
        <f>Feuil1!$N7</f>
        <v>0.25</v>
      </c>
      <c r="D117" s="17">
        <f>Feuil1!$P7</f>
        <v>-1.247E-2</v>
      </c>
      <c r="E117" s="17">
        <f>Feuil1!$O7</f>
        <v>1.023E-2</v>
      </c>
      <c r="F117" s="17">
        <f>Feuil1!$L$30</f>
        <v>-1</v>
      </c>
    </row>
    <row r="118" spans="1:6" x14ac:dyDescent="0.15">
      <c r="A118" s="17">
        <f>Feuil1!L37</f>
        <v>1.1385985151863356E-3</v>
      </c>
      <c r="B118" s="17">
        <f>Feuil1!L23</f>
        <v>0.88303650839629488</v>
      </c>
      <c r="C118" s="17">
        <f>Feuil1!$N8</f>
        <v>0.33333333333333331</v>
      </c>
      <c r="D118" s="17">
        <f>Feuil1!$P8</f>
        <v>-1.1939999999999999E-2</v>
      </c>
      <c r="E118" s="17">
        <f>Feuil1!$O8</f>
        <v>1.065E-2</v>
      </c>
      <c r="F118" s="17">
        <f>Feuil1!$L$30</f>
        <v>-1</v>
      </c>
    </row>
    <row r="119" spans="1:6" x14ac:dyDescent="0.15">
      <c r="A119" s="17">
        <f>Feuil1!L38</f>
        <v>1.3123413188897357E-3</v>
      </c>
      <c r="B119" s="17">
        <f>Feuil1!L24</f>
        <v>0.86947073434170308</v>
      </c>
      <c r="C119" s="17">
        <f>Feuil1!$N9</f>
        <v>0.41666666666666669</v>
      </c>
      <c r="D119" s="17">
        <f>Feuil1!$P9</f>
        <v>-1.2330000000000001E-2</v>
      </c>
      <c r="E119" s="17">
        <f>Feuil1!$O9</f>
        <v>1.094E-2</v>
      </c>
      <c r="F119" s="17">
        <f>Feuil1!$L$30</f>
        <v>-1</v>
      </c>
    </row>
    <row r="120" spans="1:6" x14ac:dyDescent="0.15">
      <c r="A120" s="17">
        <f>Feuil1!L39</f>
        <v>1.463964716132006E-3</v>
      </c>
      <c r="B120" s="17">
        <f>Feuil1!L25</f>
        <v>0.8577511058911701</v>
      </c>
      <c r="C120" s="17">
        <f>Feuil1!$N10</f>
        <v>0.5</v>
      </c>
      <c r="D120" s="17">
        <f>Feuil1!$P10</f>
        <v>-1.2200000000000001E-2</v>
      </c>
      <c r="E120" s="17">
        <f>Feuil1!$O10</f>
        <v>1.116E-2</v>
      </c>
      <c r="F120" s="17">
        <f>Feuil1!$L$30</f>
        <v>-1</v>
      </c>
    </row>
    <row r="121" spans="1:6" x14ac:dyDescent="0.15">
      <c r="A121" s="17">
        <f>Feuil1!L40</f>
        <v>1.8907277480374463E-3</v>
      </c>
      <c r="B121" s="17">
        <f>Feuil1!L26</f>
        <v>0.82513290328592526</v>
      </c>
      <c r="C121" s="17">
        <f>Feuil1!$N11</f>
        <v>0.75</v>
      </c>
      <c r="D121" s="17">
        <f>Feuil1!$P11</f>
        <v>-1.242E-2</v>
      </c>
      <c r="E121" s="17">
        <f>Feuil1!$O11</f>
        <v>1.166E-2</v>
      </c>
      <c r="F121" s="17">
        <f>Feuil1!$L$30</f>
        <v>-1</v>
      </c>
    </row>
    <row r="122" spans="1:6" x14ac:dyDescent="0.15">
      <c r="A122" s="17">
        <f>Feuil1!L41</f>
        <v>2.2581368005091876E-3</v>
      </c>
      <c r="B122" s="17">
        <f>Feuil1!L27</f>
        <v>0.7975338307762605</v>
      </c>
      <c r="C122" s="17">
        <f>Feuil1!$N12</f>
        <v>1</v>
      </c>
      <c r="D122" s="17">
        <f>Feuil1!$P12</f>
        <v>-1.2370000000000001E-2</v>
      </c>
      <c r="E122" s="17">
        <f>Feuil1!$O12</f>
        <v>1.197E-2</v>
      </c>
      <c r="F122" s="17">
        <f>Feuil1!$L$30</f>
        <v>-1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Book1</vt:lpstr>
      <vt:lpstr>Feuil1</vt:lpstr>
      <vt:lpstr>Feuil2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Trolle Anders</dc:creator>
  <cp:lastModifiedBy>Utilisateur de Microsoft Office</cp:lastModifiedBy>
  <dcterms:created xsi:type="dcterms:W3CDTF">2017-05-12T12:12:15Z</dcterms:created>
  <dcterms:modified xsi:type="dcterms:W3CDTF">2017-06-13T07:00:50Z</dcterms:modified>
</cp:coreProperties>
</file>