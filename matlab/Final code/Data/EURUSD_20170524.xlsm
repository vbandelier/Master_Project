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Data/"/>
    </mc:Choice>
  </mc:AlternateContent>
  <bookViews>
    <workbookView xWindow="0" yWindow="460" windowWidth="28800" windowHeight="1610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L2" i="2"/>
  <c r="K2" i="2"/>
  <c r="J2" i="2"/>
  <c r="I2" i="2"/>
  <c r="H2" i="2"/>
  <c r="G2" i="2"/>
  <c r="F2" i="2"/>
  <c r="E2" i="2"/>
  <c r="D2" i="2"/>
  <c r="C2" i="2"/>
  <c r="B2" i="2"/>
  <c r="P2" i="2"/>
  <c r="O2" i="2"/>
  <c r="N2" i="2"/>
  <c r="T2" i="2"/>
  <c r="B14" i="2"/>
  <c r="P3" i="2"/>
  <c r="O3" i="2"/>
  <c r="N3" i="2"/>
  <c r="T3" i="2"/>
  <c r="B15" i="2"/>
  <c r="P4" i="2"/>
  <c r="O4" i="2"/>
  <c r="N4" i="2"/>
  <c r="T4" i="2"/>
  <c r="B16" i="2"/>
  <c r="P5" i="2"/>
  <c r="O5" i="2"/>
  <c r="N5" i="2"/>
  <c r="T5" i="2"/>
  <c r="B17" i="2"/>
  <c r="P6" i="2"/>
  <c r="O6" i="2"/>
  <c r="N6" i="2"/>
  <c r="T6" i="2"/>
  <c r="B18" i="2"/>
  <c r="P7" i="2"/>
  <c r="O7" i="2"/>
  <c r="N7" i="2"/>
  <c r="T7" i="2"/>
  <c r="B19" i="2"/>
  <c r="P8" i="2"/>
  <c r="O8" i="2"/>
  <c r="N8" i="2"/>
  <c r="T8" i="2"/>
  <c r="B20" i="2"/>
  <c r="N9" i="2"/>
  <c r="O9" i="2"/>
  <c r="P9" i="2"/>
  <c r="T9" i="2"/>
  <c r="B21" i="2"/>
  <c r="P10" i="2"/>
  <c r="O10" i="2"/>
  <c r="N10" i="2"/>
  <c r="T10" i="2"/>
  <c r="B22" i="2"/>
  <c r="P11" i="2"/>
  <c r="O11" i="2"/>
  <c r="T11" i="2"/>
  <c r="B23" i="2"/>
  <c r="B26" i="2"/>
  <c r="C14" i="2"/>
  <c r="C38" i="2"/>
  <c r="D14" i="2"/>
  <c r="D38" i="2"/>
  <c r="E14" i="2"/>
  <c r="E38" i="2"/>
  <c r="F14" i="2"/>
  <c r="F38" i="2"/>
  <c r="G14" i="2"/>
  <c r="G38" i="2"/>
  <c r="H14" i="2"/>
  <c r="H38" i="2"/>
  <c r="I14" i="2"/>
  <c r="I38" i="2"/>
  <c r="J14" i="2"/>
  <c r="J38" i="2"/>
  <c r="K14" i="2"/>
  <c r="K38" i="2"/>
  <c r="L14" i="2"/>
  <c r="L38" i="2"/>
  <c r="C15" i="2"/>
  <c r="C39" i="2"/>
  <c r="D15" i="2"/>
  <c r="D39" i="2"/>
  <c r="E15" i="2"/>
  <c r="E39" i="2"/>
  <c r="F15" i="2"/>
  <c r="F39" i="2"/>
  <c r="G15" i="2"/>
  <c r="G39" i="2"/>
  <c r="H15" i="2"/>
  <c r="H39" i="2"/>
  <c r="I15" i="2"/>
  <c r="I39" i="2"/>
  <c r="J15" i="2"/>
  <c r="J39" i="2"/>
  <c r="K15" i="2"/>
  <c r="K39" i="2"/>
  <c r="L15" i="2"/>
  <c r="L39" i="2"/>
  <c r="C16" i="2"/>
  <c r="C40" i="2"/>
  <c r="D16" i="2"/>
  <c r="D40" i="2"/>
  <c r="E16" i="2"/>
  <c r="E40" i="2"/>
  <c r="F16" i="2"/>
  <c r="F40" i="2"/>
  <c r="G16" i="2"/>
  <c r="G40" i="2"/>
  <c r="H16" i="2"/>
  <c r="H40" i="2"/>
  <c r="I16" i="2"/>
  <c r="I40" i="2"/>
  <c r="J16" i="2"/>
  <c r="J40" i="2"/>
  <c r="K16" i="2"/>
  <c r="K40" i="2"/>
  <c r="L16" i="2"/>
  <c r="L40" i="2"/>
  <c r="C17" i="2"/>
  <c r="C41" i="2"/>
  <c r="D17" i="2"/>
  <c r="D41" i="2"/>
  <c r="E17" i="2"/>
  <c r="E41" i="2"/>
  <c r="F17" i="2"/>
  <c r="F41" i="2"/>
  <c r="G17" i="2"/>
  <c r="G41" i="2"/>
  <c r="H17" i="2"/>
  <c r="H41" i="2"/>
  <c r="I17" i="2"/>
  <c r="I41" i="2"/>
  <c r="J17" i="2"/>
  <c r="J41" i="2"/>
  <c r="K17" i="2"/>
  <c r="K41" i="2"/>
  <c r="L17" i="2"/>
  <c r="L41" i="2"/>
  <c r="C18" i="2"/>
  <c r="C42" i="2"/>
  <c r="D18" i="2"/>
  <c r="D42" i="2"/>
  <c r="E18" i="2"/>
  <c r="E42" i="2"/>
  <c r="F18" i="2"/>
  <c r="F42" i="2"/>
  <c r="G18" i="2"/>
  <c r="G42" i="2"/>
  <c r="H18" i="2"/>
  <c r="H42" i="2"/>
  <c r="I18" i="2"/>
  <c r="I42" i="2"/>
  <c r="J18" i="2"/>
  <c r="J42" i="2"/>
  <c r="K18" i="2"/>
  <c r="K42" i="2"/>
  <c r="L18" i="2"/>
  <c r="L42" i="2"/>
  <c r="C19" i="2"/>
  <c r="C43" i="2"/>
  <c r="D19" i="2"/>
  <c r="D43" i="2"/>
  <c r="E19" i="2"/>
  <c r="E43" i="2"/>
  <c r="F19" i="2"/>
  <c r="F43" i="2"/>
  <c r="G19" i="2"/>
  <c r="G43" i="2"/>
  <c r="H19" i="2"/>
  <c r="H43" i="2"/>
  <c r="I19" i="2"/>
  <c r="I43" i="2"/>
  <c r="J19" i="2"/>
  <c r="J43" i="2"/>
  <c r="K19" i="2"/>
  <c r="K43" i="2"/>
  <c r="L19" i="2"/>
  <c r="L43" i="2"/>
  <c r="C20" i="2"/>
  <c r="C44" i="2"/>
  <c r="D20" i="2"/>
  <c r="D44" i="2"/>
  <c r="E20" i="2"/>
  <c r="E44" i="2"/>
  <c r="F20" i="2"/>
  <c r="F44" i="2"/>
  <c r="G20" i="2"/>
  <c r="G44" i="2"/>
  <c r="H20" i="2"/>
  <c r="H44" i="2"/>
  <c r="I20" i="2"/>
  <c r="I44" i="2"/>
  <c r="J20" i="2"/>
  <c r="J44" i="2"/>
  <c r="K20" i="2"/>
  <c r="K44" i="2"/>
  <c r="L20" i="2"/>
  <c r="L44" i="2"/>
  <c r="C21" i="2"/>
  <c r="C45" i="2"/>
  <c r="D21" i="2"/>
  <c r="D45" i="2"/>
  <c r="E21" i="2"/>
  <c r="E45" i="2"/>
  <c r="F21" i="2"/>
  <c r="F45" i="2"/>
  <c r="G21" i="2"/>
  <c r="G45" i="2"/>
  <c r="H21" i="2"/>
  <c r="H45" i="2"/>
  <c r="I21" i="2"/>
  <c r="I45" i="2"/>
  <c r="J21" i="2"/>
  <c r="J45" i="2"/>
  <c r="K21" i="2"/>
  <c r="K45" i="2"/>
  <c r="L21" i="2"/>
  <c r="L45" i="2"/>
  <c r="C22" i="2"/>
  <c r="C46" i="2"/>
  <c r="D22" i="2"/>
  <c r="D46" i="2"/>
  <c r="E22" i="2"/>
  <c r="E46" i="2"/>
  <c r="F22" i="2"/>
  <c r="F46" i="2"/>
  <c r="G22" i="2"/>
  <c r="G46" i="2"/>
  <c r="H22" i="2"/>
  <c r="H46" i="2"/>
  <c r="I22" i="2"/>
  <c r="I46" i="2"/>
  <c r="J22" i="2"/>
  <c r="J46" i="2"/>
  <c r="K22" i="2"/>
  <c r="K46" i="2"/>
  <c r="L22" i="2"/>
  <c r="L46" i="2"/>
  <c r="C23" i="2"/>
  <c r="C47" i="2"/>
  <c r="D23" i="2"/>
  <c r="D47" i="2"/>
  <c r="E23" i="2"/>
  <c r="E47" i="2"/>
  <c r="F23" i="2"/>
  <c r="F47" i="2"/>
  <c r="G23" i="2"/>
  <c r="G47" i="2"/>
  <c r="H23" i="2"/>
  <c r="H47" i="2"/>
  <c r="I23" i="2"/>
  <c r="I47" i="2"/>
  <c r="J23" i="2"/>
  <c r="J47" i="2"/>
  <c r="K23" i="2"/>
  <c r="K47" i="2"/>
  <c r="L23" i="2"/>
  <c r="L47" i="2"/>
  <c r="B39" i="2"/>
  <c r="B40" i="2"/>
  <c r="B41" i="2"/>
  <c r="B42" i="2"/>
  <c r="B43" i="2"/>
  <c r="B44" i="2"/>
  <c r="B45" i="2"/>
  <c r="B46" i="2"/>
  <c r="B47" i="2"/>
  <c r="B38" i="2"/>
  <c r="C26" i="2"/>
  <c r="D26" i="2"/>
  <c r="E26" i="2"/>
  <c r="F26" i="2"/>
  <c r="G26" i="2"/>
  <c r="H26" i="2"/>
  <c r="I26" i="2"/>
  <c r="J26" i="2"/>
  <c r="K26" i="2"/>
  <c r="L26" i="2"/>
  <c r="C27" i="2"/>
  <c r="D27" i="2"/>
  <c r="E27" i="2"/>
  <c r="F27" i="2"/>
  <c r="G27" i="2"/>
  <c r="H27" i="2"/>
  <c r="I27" i="2"/>
  <c r="J27" i="2"/>
  <c r="K27" i="2"/>
  <c r="L27" i="2"/>
  <c r="C28" i="2"/>
  <c r="D28" i="2"/>
  <c r="E28" i="2"/>
  <c r="F28" i="2"/>
  <c r="G28" i="2"/>
  <c r="H28" i="2"/>
  <c r="I28" i="2"/>
  <c r="J28" i="2"/>
  <c r="K28" i="2"/>
  <c r="L28" i="2"/>
  <c r="C29" i="2"/>
  <c r="D29" i="2"/>
  <c r="E29" i="2"/>
  <c r="F29" i="2"/>
  <c r="G29" i="2"/>
  <c r="H29" i="2"/>
  <c r="I29" i="2"/>
  <c r="J29" i="2"/>
  <c r="K29" i="2"/>
  <c r="L29" i="2"/>
  <c r="C30" i="2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B33" i="2"/>
  <c r="B34" i="2"/>
  <c r="B35" i="2"/>
  <c r="B27" i="2"/>
  <c r="B28" i="2"/>
  <c r="B29" i="2"/>
  <c r="B30" i="2"/>
  <c r="B31" i="2"/>
  <c r="B32" i="2"/>
  <c r="D103" i="3"/>
  <c r="D104" i="3"/>
  <c r="D105" i="3"/>
  <c r="D106" i="3"/>
  <c r="D107" i="3"/>
  <c r="D108" i="3"/>
  <c r="D109" i="3"/>
  <c r="D110" i="3"/>
  <c r="D111" i="3"/>
  <c r="D102" i="3"/>
  <c r="D93" i="3"/>
  <c r="D94" i="3"/>
  <c r="D95" i="3"/>
  <c r="D96" i="3"/>
  <c r="D97" i="3"/>
  <c r="D98" i="3"/>
  <c r="D99" i="3"/>
  <c r="D100" i="3"/>
  <c r="D101" i="3"/>
  <c r="D92" i="3"/>
  <c r="D83" i="3"/>
  <c r="D84" i="3"/>
  <c r="D85" i="3"/>
  <c r="D86" i="3"/>
  <c r="D87" i="3"/>
  <c r="D88" i="3"/>
  <c r="D89" i="3"/>
  <c r="D90" i="3"/>
  <c r="D91" i="3"/>
  <c r="D82" i="3"/>
  <c r="D73" i="3"/>
  <c r="D74" i="3"/>
  <c r="D75" i="3"/>
  <c r="D76" i="3"/>
  <c r="D77" i="3"/>
  <c r="D78" i="3"/>
  <c r="D79" i="3"/>
  <c r="D80" i="3"/>
  <c r="D81" i="3"/>
  <c r="D72" i="3"/>
  <c r="E103" i="3"/>
  <c r="E104" i="3"/>
  <c r="E105" i="3"/>
  <c r="E106" i="3"/>
  <c r="E107" i="3"/>
  <c r="E108" i="3"/>
  <c r="E109" i="3"/>
  <c r="E110" i="3"/>
  <c r="E111" i="3"/>
  <c r="E102" i="3"/>
  <c r="E93" i="3"/>
  <c r="E94" i="3"/>
  <c r="E95" i="3"/>
  <c r="E96" i="3"/>
  <c r="E97" i="3"/>
  <c r="E98" i="3"/>
  <c r="E99" i="3"/>
  <c r="E100" i="3"/>
  <c r="E101" i="3"/>
  <c r="E92" i="3"/>
  <c r="E83" i="3"/>
  <c r="E84" i="3"/>
  <c r="E85" i="3"/>
  <c r="E86" i="3"/>
  <c r="E87" i="3"/>
  <c r="E88" i="3"/>
  <c r="E89" i="3"/>
  <c r="E90" i="3"/>
  <c r="E91" i="3"/>
  <c r="E82" i="3"/>
  <c r="E73" i="3"/>
  <c r="E74" i="3"/>
  <c r="E75" i="3"/>
  <c r="E76" i="3"/>
  <c r="E77" i="3"/>
  <c r="E78" i="3"/>
  <c r="E79" i="3"/>
  <c r="E80" i="3"/>
  <c r="E81" i="3"/>
  <c r="E72" i="3"/>
  <c r="D63" i="3"/>
  <c r="D64" i="3"/>
  <c r="D65" i="3"/>
  <c r="D66" i="3"/>
  <c r="D67" i="3"/>
  <c r="D68" i="3"/>
  <c r="D69" i="3"/>
  <c r="D70" i="3"/>
  <c r="D71" i="3"/>
  <c r="E63" i="3"/>
  <c r="E64" i="3"/>
  <c r="E65" i="3"/>
  <c r="E66" i="3"/>
  <c r="E67" i="3"/>
  <c r="E68" i="3"/>
  <c r="E69" i="3"/>
  <c r="E70" i="3"/>
  <c r="E71" i="3"/>
  <c r="E62" i="3"/>
  <c r="D62" i="3"/>
  <c r="E53" i="3"/>
  <c r="E54" i="3"/>
  <c r="E55" i="3"/>
  <c r="E56" i="3"/>
  <c r="E57" i="3"/>
  <c r="E58" i="3"/>
  <c r="E59" i="3"/>
  <c r="E60" i="3"/>
  <c r="E61" i="3"/>
  <c r="E52" i="3"/>
  <c r="D53" i="3"/>
  <c r="D54" i="3"/>
  <c r="D55" i="3"/>
  <c r="D56" i="3"/>
  <c r="D57" i="3"/>
  <c r="D58" i="3"/>
  <c r="D59" i="3"/>
  <c r="D60" i="3"/>
  <c r="D61" i="3"/>
  <c r="D52" i="3"/>
  <c r="E43" i="3"/>
  <c r="E44" i="3"/>
  <c r="E45" i="3"/>
  <c r="E46" i="3"/>
  <c r="E47" i="3"/>
  <c r="E48" i="3"/>
  <c r="E49" i="3"/>
  <c r="E50" i="3"/>
  <c r="E51" i="3"/>
  <c r="E42" i="3"/>
  <c r="D43" i="3"/>
  <c r="D44" i="3"/>
  <c r="D45" i="3"/>
  <c r="D46" i="3"/>
  <c r="D47" i="3"/>
  <c r="D48" i="3"/>
  <c r="D49" i="3"/>
  <c r="D50" i="3"/>
  <c r="D51" i="3"/>
  <c r="D42" i="3"/>
  <c r="E33" i="3"/>
  <c r="E34" i="3"/>
  <c r="E35" i="3"/>
  <c r="E36" i="3"/>
  <c r="E37" i="3"/>
  <c r="E38" i="3"/>
  <c r="E39" i="3"/>
  <c r="E40" i="3"/>
  <c r="E41" i="3"/>
  <c r="E32" i="3"/>
  <c r="E23" i="3"/>
  <c r="E24" i="3"/>
  <c r="E25" i="3"/>
  <c r="E26" i="3"/>
  <c r="E27" i="3"/>
  <c r="E28" i="3"/>
  <c r="E29" i="3"/>
  <c r="E30" i="3"/>
  <c r="E31" i="3"/>
  <c r="E22" i="3"/>
  <c r="E13" i="3"/>
  <c r="E14" i="3"/>
  <c r="E15" i="3"/>
  <c r="E16" i="3"/>
  <c r="E17" i="3"/>
  <c r="E18" i="3"/>
  <c r="E19" i="3"/>
  <c r="E20" i="3"/>
  <c r="E21" i="3"/>
  <c r="E12" i="3"/>
  <c r="E3" i="3"/>
  <c r="E4" i="3"/>
  <c r="E5" i="3"/>
  <c r="E6" i="3"/>
  <c r="E7" i="3"/>
  <c r="E8" i="3"/>
  <c r="E9" i="3"/>
  <c r="E10" i="3"/>
  <c r="E11" i="3"/>
  <c r="E2" i="3"/>
  <c r="D33" i="3"/>
  <c r="D34" i="3"/>
  <c r="D35" i="3"/>
  <c r="D36" i="3"/>
  <c r="D37" i="3"/>
  <c r="D38" i="3"/>
  <c r="D39" i="3"/>
  <c r="D40" i="3"/>
  <c r="D41" i="3"/>
  <c r="D32" i="3"/>
  <c r="D23" i="3"/>
  <c r="D24" i="3"/>
  <c r="D25" i="3"/>
  <c r="D26" i="3"/>
  <c r="D27" i="3"/>
  <c r="D28" i="3"/>
  <c r="D29" i="3"/>
  <c r="D30" i="3"/>
  <c r="D31" i="3"/>
  <c r="D22" i="3"/>
  <c r="D13" i="3"/>
  <c r="D14" i="3"/>
  <c r="D15" i="3"/>
  <c r="D16" i="3"/>
  <c r="D17" i="3"/>
  <c r="D18" i="3"/>
  <c r="D19" i="3"/>
  <c r="D20" i="3"/>
  <c r="D21" i="3"/>
  <c r="D12" i="3"/>
  <c r="D3" i="3"/>
  <c r="D4" i="3"/>
  <c r="D5" i="3"/>
  <c r="D6" i="3"/>
  <c r="D7" i="3"/>
  <c r="D8" i="3"/>
  <c r="D9" i="3"/>
  <c r="D10" i="3"/>
  <c r="D11" i="3"/>
  <c r="D2" i="3"/>
  <c r="F103" i="3"/>
  <c r="F104" i="3"/>
  <c r="F105" i="3"/>
  <c r="F106" i="3"/>
  <c r="F107" i="3"/>
  <c r="F108" i="3"/>
  <c r="F109" i="3"/>
  <c r="F110" i="3"/>
  <c r="F111" i="3"/>
  <c r="F102" i="3"/>
  <c r="F93" i="3"/>
  <c r="F94" i="3"/>
  <c r="F95" i="3"/>
  <c r="F96" i="3"/>
  <c r="F97" i="3"/>
  <c r="F98" i="3"/>
  <c r="F99" i="3"/>
  <c r="F100" i="3"/>
  <c r="F101" i="3"/>
  <c r="F92" i="3"/>
  <c r="F83" i="3"/>
  <c r="F84" i="3"/>
  <c r="F85" i="3"/>
  <c r="F86" i="3"/>
  <c r="F87" i="3"/>
  <c r="F88" i="3"/>
  <c r="F89" i="3"/>
  <c r="F90" i="3"/>
  <c r="F91" i="3"/>
  <c r="F82" i="3"/>
  <c r="F73" i="3"/>
  <c r="F74" i="3"/>
  <c r="F75" i="3"/>
  <c r="F76" i="3"/>
  <c r="F77" i="3"/>
  <c r="F78" i="3"/>
  <c r="F79" i="3"/>
  <c r="F80" i="3"/>
  <c r="F81" i="3"/>
  <c r="F72" i="3"/>
  <c r="F63" i="3"/>
  <c r="F64" i="3"/>
  <c r="F65" i="3"/>
  <c r="F66" i="3"/>
  <c r="F67" i="3"/>
  <c r="F68" i="3"/>
  <c r="F69" i="3"/>
  <c r="F70" i="3"/>
  <c r="F71" i="3"/>
  <c r="F62" i="3"/>
  <c r="F53" i="3"/>
  <c r="F54" i="3"/>
  <c r="F55" i="3"/>
  <c r="F56" i="3"/>
  <c r="F57" i="3"/>
  <c r="F58" i="3"/>
  <c r="F59" i="3"/>
  <c r="F60" i="3"/>
  <c r="F61" i="3"/>
  <c r="F52" i="3"/>
  <c r="F43" i="3"/>
  <c r="F44" i="3"/>
  <c r="F45" i="3"/>
  <c r="F46" i="3"/>
  <c r="F47" i="3"/>
  <c r="F48" i="3"/>
  <c r="F49" i="3"/>
  <c r="F50" i="3"/>
  <c r="F51" i="3"/>
  <c r="F42" i="3"/>
  <c r="F33" i="3"/>
  <c r="F34" i="3"/>
  <c r="F35" i="3"/>
  <c r="F36" i="3"/>
  <c r="F37" i="3"/>
  <c r="F38" i="3"/>
  <c r="F39" i="3"/>
  <c r="F40" i="3"/>
  <c r="F41" i="3"/>
  <c r="F32" i="3"/>
  <c r="F23" i="3"/>
  <c r="F24" i="3"/>
  <c r="F25" i="3"/>
  <c r="F26" i="3"/>
  <c r="F27" i="3"/>
  <c r="F28" i="3"/>
  <c r="F29" i="3"/>
  <c r="F30" i="3"/>
  <c r="F31" i="3"/>
  <c r="F22" i="3"/>
  <c r="F13" i="3"/>
  <c r="F14" i="3"/>
  <c r="F15" i="3"/>
  <c r="F16" i="3"/>
  <c r="F17" i="3"/>
  <c r="F18" i="3"/>
  <c r="F19" i="3"/>
  <c r="F20" i="3"/>
  <c r="F21" i="3"/>
  <c r="F12" i="3"/>
  <c r="F3" i="3"/>
  <c r="F4" i="3"/>
  <c r="F5" i="3"/>
  <c r="F6" i="3"/>
  <c r="F7" i="3"/>
  <c r="F8" i="3"/>
  <c r="F9" i="3"/>
  <c r="F10" i="3"/>
  <c r="F11" i="3"/>
  <c r="F2" i="3"/>
  <c r="Q3" i="2"/>
  <c r="S3" i="2"/>
  <c r="Q4" i="2"/>
  <c r="S4" i="2"/>
  <c r="Q5" i="2"/>
  <c r="S5" i="2"/>
  <c r="Q6" i="2"/>
  <c r="S6" i="2"/>
  <c r="Q7" i="2"/>
  <c r="S7" i="2"/>
  <c r="Q8" i="2"/>
  <c r="S8" i="2"/>
  <c r="Q9" i="2"/>
  <c r="S9" i="2"/>
  <c r="Q10" i="2"/>
  <c r="S10" i="2"/>
  <c r="Q11" i="2"/>
  <c r="S11" i="2"/>
  <c r="Q2" i="2"/>
  <c r="S2" i="2"/>
  <c r="B103" i="3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B83" i="3"/>
  <c r="B84" i="3"/>
  <c r="B85" i="3"/>
  <c r="B86" i="3"/>
  <c r="B87" i="3"/>
  <c r="B88" i="3"/>
  <c r="B89" i="3"/>
  <c r="B90" i="3"/>
  <c r="B91" i="3"/>
  <c r="B82" i="3"/>
  <c r="B73" i="3"/>
  <c r="B74" i="3"/>
  <c r="B75" i="3"/>
  <c r="B76" i="3"/>
  <c r="B77" i="3"/>
  <c r="B78" i="3"/>
  <c r="B79" i="3"/>
  <c r="B80" i="3"/>
  <c r="B81" i="3"/>
  <c r="B72" i="3"/>
  <c r="B63" i="3"/>
  <c r="B64" i="3"/>
  <c r="B65" i="3"/>
  <c r="B66" i="3"/>
  <c r="B67" i="3"/>
  <c r="B68" i="3"/>
  <c r="B69" i="3"/>
  <c r="B70" i="3"/>
  <c r="B71" i="3"/>
  <c r="B62" i="3"/>
  <c r="B53" i="3"/>
  <c r="B54" i="3"/>
  <c r="B55" i="3"/>
  <c r="B56" i="3"/>
  <c r="B57" i="3"/>
  <c r="B58" i="3"/>
  <c r="B59" i="3"/>
  <c r="B60" i="3"/>
  <c r="B61" i="3"/>
  <c r="B52" i="3"/>
  <c r="B43" i="3"/>
  <c r="B44" i="3"/>
  <c r="B45" i="3"/>
  <c r="B46" i="3"/>
  <c r="B47" i="3"/>
  <c r="B48" i="3"/>
  <c r="B49" i="3"/>
  <c r="B50" i="3"/>
  <c r="B51" i="3"/>
  <c r="B42" i="3"/>
  <c r="B33" i="3"/>
  <c r="B34" i="3"/>
  <c r="B35" i="3"/>
  <c r="B36" i="3"/>
  <c r="B37" i="3"/>
  <c r="B38" i="3"/>
  <c r="B39" i="3"/>
  <c r="B40" i="3"/>
  <c r="B41" i="3"/>
  <c r="B32" i="3"/>
  <c r="B23" i="3"/>
  <c r="B24" i="3"/>
  <c r="B25" i="3"/>
  <c r="B26" i="3"/>
  <c r="B27" i="3"/>
  <c r="B28" i="3"/>
  <c r="B29" i="3"/>
  <c r="B30" i="3"/>
  <c r="B31" i="3"/>
  <c r="B22" i="3"/>
  <c r="B13" i="3"/>
  <c r="B14" i="3"/>
  <c r="B15" i="3"/>
  <c r="B16" i="3"/>
  <c r="B17" i="3"/>
  <c r="B18" i="3"/>
  <c r="B19" i="3"/>
  <c r="B20" i="3"/>
  <c r="B21" i="3"/>
  <c r="B12" i="3"/>
  <c r="B3" i="3"/>
  <c r="B4" i="3"/>
  <c r="B5" i="3"/>
  <c r="B6" i="3"/>
  <c r="B7" i="3"/>
  <c r="B8" i="3"/>
  <c r="B9" i="3"/>
  <c r="B10" i="3"/>
  <c r="B11" i="3"/>
  <c r="B2" i="3"/>
  <c r="A103" i="3"/>
  <c r="A104" i="3"/>
  <c r="A105" i="3"/>
  <c r="A106" i="3"/>
  <c r="A107" i="3"/>
  <c r="A108" i="3"/>
  <c r="A109" i="3"/>
  <c r="A110" i="3"/>
  <c r="A111" i="3"/>
  <c r="A102" i="3"/>
  <c r="A93" i="3"/>
  <c r="A94" i="3"/>
  <c r="A95" i="3"/>
  <c r="A96" i="3"/>
  <c r="A97" i="3"/>
  <c r="A98" i="3"/>
  <c r="A99" i="3"/>
  <c r="A100" i="3"/>
  <c r="A101" i="3"/>
  <c r="A92" i="3"/>
  <c r="A83" i="3"/>
  <c r="A84" i="3"/>
  <c r="A85" i="3"/>
  <c r="A86" i="3"/>
  <c r="A87" i="3"/>
  <c r="A88" i="3"/>
  <c r="A89" i="3"/>
  <c r="A90" i="3"/>
  <c r="A91" i="3"/>
  <c r="A82" i="3"/>
  <c r="A73" i="3"/>
  <c r="A74" i="3"/>
  <c r="A75" i="3"/>
  <c r="A76" i="3"/>
  <c r="A77" i="3"/>
  <c r="A78" i="3"/>
  <c r="A79" i="3"/>
  <c r="A80" i="3"/>
  <c r="A81" i="3"/>
  <c r="A72" i="3"/>
  <c r="A63" i="3"/>
  <c r="A64" i="3"/>
  <c r="A65" i="3"/>
  <c r="A66" i="3"/>
  <c r="A67" i="3"/>
  <c r="A68" i="3"/>
  <c r="A69" i="3"/>
  <c r="A70" i="3"/>
  <c r="A71" i="3"/>
  <c r="A62" i="3"/>
  <c r="A53" i="3"/>
  <c r="A54" i="3"/>
  <c r="A55" i="3"/>
  <c r="A56" i="3"/>
  <c r="A57" i="3"/>
  <c r="A58" i="3"/>
  <c r="A59" i="3"/>
  <c r="A60" i="3"/>
  <c r="A61" i="3"/>
  <c r="A52" i="3"/>
  <c r="A45" i="3"/>
  <c r="A46" i="3"/>
  <c r="A47" i="3"/>
  <c r="A48" i="3"/>
  <c r="A49" i="3"/>
  <c r="A50" i="3"/>
  <c r="A51" i="3"/>
  <c r="A44" i="3"/>
  <c r="A43" i="3"/>
  <c r="A42" i="3"/>
  <c r="A33" i="3"/>
  <c r="A34" i="3"/>
  <c r="A35" i="3"/>
  <c r="A36" i="3"/>
  <c r="A37" i="3"/>
  <c r="A38" i="3"/>
  <c r="A39" i="3"/>
  <c r="A40" i="3"/>
  <c r="A41" i="3"/>
  <c r="A32" i="3"/>
  <c r="A23" i="3"/>
  <c r="A24" i="3"/>
  <c r="A25" i="3"/>
  <c r="A26" i="3"/>
  <c r="A27" i="3"/>
  <c r="A28" i="3"/>
  <c r="A29" i="3"/>
  <c r="A30" i="3"/>
  <c r="A31" i="3"/>
  <c r="A22" i="3"/>
  <c r="A13" i="3"/>
  <c r="A14" i="3"/>
  <c r="A15" i="3"/>
  <c r="A16" i="3"/>
  <c r="A17" i="3"/>
  <c r="A18" i="3"/>
  <c r="A19" i="3"/>
  <c r="A20" i="3"/>
  <c r="A21" i="3"/>
  <c r="A12" i="3"/>
  <c r="A3" i="3"/>
  <c r="A4" i="3"/>
  <c r="A5" i="3"/>
  <c r="A6" i="3"/>
  <c r="A7" i="3"/>
  <c r="A8" i="3"/>
  <c r="A9" i="3"/>
  <c r="A10" i="3"/>
  <c r="A11" i="3"/>
  <c r="A2" i="3"/>
</calcChain>
</file>

<file path=xl/sharedStrings.xml><?xml version="1.0" encoding="utf-8"?>
<sst xmlns="http://schemas.openxmlformats.org/spreadsheetml/2006/main" count="131" uniqueCount="59">
  <si>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</si>
  <si>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</si>
  <si>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</si>
  <si>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</si>
  <si>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</si>
  <si>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</si>
  <si>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</si>
  <si>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</si>
  <si>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</si>
  <si>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</si>
  <si>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</si>
  <si>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</si>
  <si>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</si>
  <si>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</si>
  <si>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</si>
  <si>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</si>
  <si>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</si>
  <si>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</si>
  <si>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</si>
  <si>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</si>
  <si>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</si>
  <si>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</si>
  <si>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Exp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</si>
  <si>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</si>
  <si>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</si>
  <si>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</si>
  <si>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</si>
  <si>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</si>
  <si>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</si>
  <si>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</si>
  <si>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</si>
  <si>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</si>
  <si>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</si>
  <si>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</si>
  <si>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</si>
  <si>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</si>
  <si>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</si>
  <si>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USDCHF Fwd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</si>
  <si>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</si>
  <si>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</si>
  <si>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</si>
  <si>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</si>
  <si>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</si>
  <si>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</si>
  <si>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</si>
  <si>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</si>
  <si>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</si>
  <si>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</si>
  <si>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</si>
  <si>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</si>
  <si>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</si>
  <si>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</si>
  <si>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USD Interest rate</t>
  </si>
  <si>
    <t>domestic</t>
  </si>
  <si>
    <t>foreign</t>
  </si>
  <si>
    <t>EUR</t>
  </si>
  <si>
    <t>EUR Interest rate</t>
  </si>
  <si>
    <t>EURUSD Forward exchange  rate</t>
  </si>
  <si>
    <t>EUR Dep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</si>
</sst>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21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</cellXfs>
  <cellStyles count="107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5"/>
  <sheetViews>
    <sheetView topLeftCell="O1" zoomScale="125" zoomScaleNormal="125" zoomScalePageLayoutView="125" workbookViewId="0">
      <selection activeCell="AB13" sqref="AB13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55</v>
      </c>
      <c r="B1" s="16" t="s">
        <v>38</v>
      </c>
      <c r="C1" s="16"/>
      <c r="D1" s="16" t="s">
        <v>39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23</v>
      </c>
      <c r="AD1" s="1"/>
    </row>
    <row r="2" spans="1:30" x14ac:dyDescent="0.2">
      <c r="A2" s="16"/>
      <c r="B2" s="16" t="s">
        <v>0</v>
      </c>
      <c r="C2" s="16"/>
      <c r="D2" s="16" t="s">
        <v>40</v>
      </c>
      <c r="E2" s="16"/>
      <c r="F2" s="16" t="s">
        <v>41</v>
      </c>
      <c r="G2" s="16"/>
      <c r="H2" s="16" t="s">
        <v>42</v>
      </c>
      <c r="I2" s="16"/>
      <c r="J2" s="16" t="s">
        <v>43</v>
      </c>
      <c r="K2" s="16"/>
      <c r="L2" s="16" t="s">
        <v>44</v>
      </c>
      <c r="M2" s="16"/>
      <c r="N2" s="16" t="s">
        <v>45</v>
      </c>
      <c r="O2" s="16"/>
      <c r="P2" t="s">
        <v>46</v>
      </c>
      <c r="Q2"/>
      <c r="R2" t="s">
        <v>47</v>
      </c>
      <c r="S2"/>
      <c r="T2" t="s">
        <v>48</v>
      </c>
      <c r="U2"/>
      <c r="V2" t="s">
        <v>49</v>
      </c>
      <c r="W2"/>
      <c r="AD2" s="1"/>
    </row>
    <row r="3" spans="1:30" x14ac:dyDescent="0.2">
      <c r="A3" s="16"/>
      <c r="B3" s="16" t="s">
        <v>50</v>
      </c>
      <c r="C3" s="16" t="s">
        <v>51</v>
      </c>
      <c r="D3" s="16" t="s">
        <v>50</v>
      </c>
      <c r="E3" s="16" t="s">
        <v>51</v>
      </c>
      <c r="F3" s="16" t="s">
        <v>50</v>
      </c>
      <c r="G3" s="16" t="s">
        <v>51</v>
      </c>
      <c r="H3" s="16" t="s">
        <v>50</v>
      </c>
      <c r="I3" s="16" t="s">
        <v>51</v>
      </c>
      <c r="J3" s="16" t="s">
        <v>50</v>
      </c>
      <c r="K3" s="16" t="s">
        <v>51</v>
      </c>
      <c r="L3" s="16" t="s">
        <v>50</v>
      </c>
      <c r="M3" s="16" t="s">
        <v>51</v>
      </c>
      <c r="N3" s="16" t="s">
        <v>50</v>
      </c>
      <c r="O3" s="16" t="s">
        <v>51</v>
      </c>
      <c r="P3" t="s">
        <v>50</v>
      </c>
      <c r="Q3" t="s">
        <v>51</v>
      </c>
      <c r="R3" t="s">
        <v>50</v>
      </c>
      <c r="S3" t="s">
        <v>51</v>
      </c>
      <c r="T3" t="s">
        <v>50</v>
      </c>
      <c r="U3" t="s">
        <v>51</v>
      </c>
      <c r="V3" t="s">
        <v>50</v>
      </c>
      <c r="W3" t="s">
        <v>51</v>
      </c>
      <c r="Z3" s="12" t="s">
        <v>22</v>
      </c>
      <c r="AA3" s="13" t="s">
        <v>58</v>
      </c>
      <c r="AB3" s="13" t="s">
        <v>36</v>
      </c>
      <c r="AC3" s="13" t="s">
        <v>37</v>
      </c>
      <c r="AD3" s="1"/>
    </row>
    <row r="4" spans="1:30" s="15" customFormat="1" x14ac:dyDescent="0.2">
      <c r="A4" s="16" t="s">
        <v>11</v>
      </c>
      <c r="B4" s="16">
        <v>6.25</v>
      </c>
      <c r="C4" s="16">
        <v>0.87</v>
      </c>
      <c r="D4" s="16">
        <v>6.3250000000000002</v>
      </c>
      <c r="E4" s="16">
        <v>0.93700000000000006</v>
      </c>
      <c r="F4" s="16">
        <v>6.29</v>
      </c>
      <c r="G4" s="16">
        <v>0.93700000000000006</v>
      </c>
      <c r="H4" s="16">
        <v>6.444</v>
      </c>
      <c r="I4" s="16">
        <v>1.0940000000000001</v>
      </c>
      <c r="J4" s="16">
        <v>6.3810000000000002</v>
      </c>
      <c r="K4" s="16">
        <v>1.0940000000000001</v>
      </c>
      <c r="L4" s="16">
        <v>6.64</v>
      </c>
      <c r="M4" s="16">
        <v>1.4950000000000001</v>
      </c>
      <c r="N4" s="16">
        <v>6.5449999999999999</v>
      </c>
      <c r="O4" s="16">
        <v>1.4950000000000001</v>
      </c>
      <c r="P4">
        <v>6.7789999999999999</v>
      </c>
      <c r="Q4">
        <v>1.994</v>
      </c>
      <c r="R4">
        <v>6.6660000000000004</v>
      </c>
      <c r="S4">
        <v>1.994</v>
      </c>
      <c r="T4">
        <v>6.9790000000000001</v>
      </c>
      <c r="U4">
        <v>3.383</v>
      </c>
      <c r="V4">
        <v>6.8410000000000002</v>
      </c>
      <c r="W4">
        <v>3.3860000000000001</v>
      </c>
      <c r="Z4" s="12" t="s">
        <v>11</v>
      </c>
      <c r="AA4" s="14">
        <v>-7.9299999999999995E-3</v>
      </c>
      <c r="AB4" s="14">
        <v>8.1300000000000001E-3</v>
      </c>
      <c r="AC4" s="13">
        <v>1.1223000000000001</v>
      </c>
    </row>
    <row r="5" spans="1:30" s="15" customFormat="1" x14ac:dyDescent="0.2">
      <c r="A5" s="16" t="s">
        <v>12</v>
      </c>
      <c r="B5" s="16">
        <v>6.4829999999999997</v>
      </c>
      <c r="C5" s="16">
        <v>0.57499999999999996</v>
      </c>
      <c r="D5" s="16">
        <v>6.5590000000000002</v>
      </c>
      <c r="E5" s="16">
        <v>0.61899999999999999</v>
      </c>
      <c r="F5" s="16">
        <v>6.5309999999999997</v>
      </c>
      <c r="G5" s="16">
        <v>0.61899999999999999</v>
      </c>
      <c r="H5" s="16">
        <v>6.6849999999999996</v>
      </c>
      <c r="I5" s="16">
        <v>0.72199999999999998</v>
      </c>
      <c r="J5" s="16">
        <v>6.64</v>
      </c>
      <c r="K5" s="16">
        <v>0.72199999999999998</v>
      </c>
      <c r="L5" s="16">
        <v>6.8860000000000001</v>
      </c>
      <c r="M5" s="16">
        <v>0.98599999999999999</v>
      </c>
      <c r="N5" s="16">
        <v>6.8239999999999998</v>
      </c>
      <c r="O5" s="16">
        <v>0.98599999999999999</v>
      </c>
      <c r="P5">
        <v>7.03</v>
      </c>
      <c r="Q5">
        <v>1.3120000000000001</v>
      </c>
      <c r="R5">
        <v>6.96</v>
      </c>
      <c r="S5">
        <v>1.3120000000000001</v>
      </c>
      <c r="T5">
        <v>7.2439999999999998</v>
      </c>
      <c r="U5">
        <v>2.23</v>
      </c>
      <c r="V5">
        <v>7.1660000000000004</v>
      </c>
      <c r="W5">
        <v>2.2320000000000002</v>
      </c>
      <c r="Z5" s="12" t="s">
        <v>12</v>
      </c>
      <c r="AA5" s="14">
        <v>-1.009E-2</v>
      </c>
      <c r="AB5" s="14">
        <v>6.0899999999999999E-3</v>
      </c>
      <c r="AC5" s="13">
        <v>1.1226</v>
      </c>
    </row>
    <row r="6" spans="1:30" s="15" customFormat="1" x14ac:dyDescent="0.2">
      <c r="A6" s="16" t="s">
        <v>13</v>
      </c>
      <c r="B6" s="16">
        <v>7.6749999999999998</v>
      </c>
      <c r="C6" s="16">
        <v>0.4</v>
      </c>
      <c r="D6" s="16">
        <v>7.77</v>
      </c>
      <c r="E6" s="16">
        <v>0.43099999999999999</v>
      </c>
      <c r="F6" s="16">
        <v>7.7149999999999999</v>
      </c>
      <c r="G6" s="16">
        <v>0.43099999999999999</v>
      </c>
      <c r="H6" s="16">
        <v>7.91</v>
      </c>
      <c r="I6" s="16">
        <v>0.502</v>
      </c>
      <c r="J6" s="16">
        <v>7.82</v>
      </c>
      <c r="K6" s="16">
        <v>0.502</v>
      </c>
      <c r="L6" s="16">
        <v>8.125</v>
      </c>
      <c r="M6" s="16">
        <v>0.68500000000000005</v>
      </c>
      <c r="N6" s="16">
        <v>7.9850000000000003</v>
      </c>
      <c r="O6" s="16">
        <v>0.68500000000000005</v>
      </c>
      <c r="P6">
        <v>8.282</v>
      </c>
      <c r="Q6">
        <v>0.91100000000000003</v>
      </c>
      <c r="R6">
        <v>8.1170000000000009</v>
      </c>
      <c r="S6">
        <v>0.91100000000000003</v>
      </c>
      <c r="T6">
        <v>8.5050000000000008</v>
      </c>
      <c r="U6">
        <v>1.5489999999999999</v>
      </c>
      <c r="V6">
        <v>8.3000000000000007</v>
      </c>
      <c r="W6">
        <v>1.55</v>
      </c>
      <c r="Z6" s="12" t="s">
        <v>13</v>
      </c>
      <c r="AA6" s="14">
        <v>-9.0200000000000002E-3</v>
      </c>
      <c r="AB6" s="14">
        <v>7.2399999999999999E-3</v>
      </c>
      <c r="AC6" s="13">
        <v>1.123</v>
      </c>
    </row>
    <row r="7" spans="1:30" s="15" customFormat="1" x14ac:dyDescent="0.2">
      <c r="A7" s="16" t="s">
        <v>14</v>
      </c>
      <c r="B7" s="16">
        <v>7.68</v>
      </c>
      <c r="C7" s="16">
        <v>0.33</v>
      </c>
      <c r="D7" s="16">
        <v>7.7670000000000003</v>
      </c>
      <c r="E7" s="16">
        <v>0.35599999999999998</v>
      </c>
      <c r="F7" s="16">
        <v>7.7270000000000003</v>
      </c>
      <c r="G7" s="16">
        <v>0.35599999999999998</v>
      </c>
      <c r="H7" s="16">
        <v>7.9119999999999999</v>
      </c>
      <c r="I7" s="16">
        <v>0.41399999999999998</v>
      </c>
      <c r="J7" s="16">
        <v>7.8419999999999996</v>
      </c>
      <c r="K7" s="16">
        <v>0.41399999999999998</v>
      </c>
      <c r="L7" s="16">
        <v>8.1509999999999998</v>
      </c>
      <c r="M7" s="16">
        <v>0.56499999999999995</v>
      </c>
      <c r="N7" s="16">
        <v>8.0440000000000005</v>
      </c>
      <c r="O7" s="16">
        <v>0.56499999999999995</v>
      </c>
      <c r="P7">
        <v>8.327</v>
      </c>
      <c r="Q7">
        <v>0.751</v>
      </c>
      <c r="R7">
        <v>8.1969999999999992</v>
      </c>
      <c r="S7">
        <v>0.751</v>
      </c>
      <c r="T7">
        <v>8.5790000000000006</v>
      </c>
      <c r="U7">
        <v>1.278</v>
      </c>
      <c r="V7">
        <v>8.4209999999999994</v>
      </c>
      <c r="W7">
        <v>1.278</v>
      </c>
      <c r="Z7" s="12" t="s">
        <v>14</v>
      </c>
      <c r="AA7" s="14">
        <v>-8.2799999999999992E-3</v>
      </c>
      <c r="AB7" s="14">
        <v>8.6300000000000005E-3</v>
      </c>
      <c r="AC7" s="13">
        <v>1.1234999999999999</v>
      </c>
    </row>
    <row r="8" spans="1:30" s="15" customFormat="1" x14ac:dyDescent="0.2">
      <c r="A8" s="16" t="s">
        <v>15</v>
      </c>
      <c r="B8" s="16">
        <v>7.22</v>
      </c>
      <c r="C8" s="16">
        <v>0.27</v>
      </c>
      <c r="D8" s="16">
        <v>7.2930000000000001</v>
      </c>
      <c r="E8" s="16">
        <v>0.29099999999999998</v>
      </c>
      <c r="F8" s="16">
        <v>7.3029999999999999</v>
      </c>
      <c r="G8" s="16">
        <v>0.29099999999999998</v>
      </c>
      <c r="H8" s="16">
        <v>7.4349999999999996</v>
      </c>
      <c r="I8" s="16">
        <v>0.33900000000000002</v>
      </c>
      <c r="J8" s="16">
        <v>7.45</v>
      </c>
      <c r="K8" s="16">
        <v>0.33900000000000002</v>
      </c>
      <c r="L8" s="16">
        <v>7.6829999999999998</v>
      </c>
      <c r="M8" s="16">
        <v>0.46300000000000002</v>
      </c>
      <c r="N8" s="16">
        <v>7.7030000000000003</v>
      </c>
      <c r="O8" s="16">
        <v>0.46300000000000002</v>
      </c>
      <c r="P8">
        <v>7.8650000000000002</v>
      </c>
      <c r="Q8">
        <v>0.61499999999999999</v>
      </c>
      <c r="R8">
        <v>7.89</v>
      </c>
      <c r="S8">
        <v>0.61499999999999999</v>
      </c>
      <c r="T8">
        <v>8.1349999999999998</v>
      </c>
      <c r="U8">
        <v>1.046</v>
      </c>
      <c r="V8">
        <v>8.1649999999999991</v>
      </c>
      <c r="W8">
        <v>1.046</v>
      </c>
      <c r="Z8" s="12" t="s">
        <v>15</v>
      </c>
      <c r="AA8" s="14">
        <v>-8.6899999999999998E-3</v>
      </c>
      <c r="AB8" s="14">
        <v>9.9600000000000001E-3</v>
      </c>
      <c r="AC8" s="13">
        <v>1.1254999999999999</v>
      </c>
    </row>
    <row r="9" spans="1:30" s="15" customFormat="1" x14ac:dyDescent="0.2">
      <c r="A9" s="16" t="s">
        <v>16</v>
      </c>
      <c r="B9" s="16">
        <v>7.1779999999999999</v>
      </c>
      <c r="C9" s="16">
        <v>0.245</v>
      </c>
      <c r="D9" s="16">
        <v>7.2350000000000003</v>
      </c>
      <c r="E9" s="16">
        <v>0.26400000000000001</v>
      </c>
      <c r="F9" s="16">
        <v>7.2850000000000001</v>
      </c>
      <c r="G9" s="16">
        <v>0.26400000000000001</v>
      </c>
      <c r="H9" s="16">
        <v>7.3289999999999997</v>
      </c>
      <c r="I9" s="16">
        <v>0.308</v>
      </c>
      <c r="J9" s="16">
        <v>7.5110000000000001</v>
      </c>
      <c r="K9" s="16">
        <v>0.308</v>
      </c>
      <c r="L9" s="16">
        <v>7.641</v>
      </c>
      <c r="M9" s="16">
        <v>0.42</v>
      </c>
      <c r="N9" s="16">
        <v>7.7640000000000002</v>
      </c>
      <c r="O9" s="16">
        <v>0.42</v>
      </c>
      <c r="P9">
        <v>7.7480000000000002</v>
      </c>
      <c r="Q9">
        <v>0.55800000000000005</v>
      </c>
      <c r="R9">
        <v>8.0869999999999997</v>
      </c>
      <c r="S9">
        <v>0.55800000000000005</v>
      </c>
      <c r="T9">
        <v>8.1440000000000001</v>
      </c>
      <c r="U9">
        <v>0.95</v>
      </c>
      <c r="V9">
        <v>8.3160000000000007</v>
      </c>
      <c r="W9">
        <v>0.95</v>
      </c>
      <c r="Z9" s="12" t="s">
        <v>16</v>
      </c>
      <c r="AA9" s="14">
        <v>-8.1700000000000002E-3</v>
      </c>
      <c r="AB9" s="14">
        <v>1.038E-2</v>
      </c>
      <c r="AC9" s="13">
        <v>1.1273</v>
      </c>
    </row>
    <row r="10" spans="1:30" s="15" customFormat="1" x14ac:dyDescent="0.2">
      <c r="A10" s="16" t="s">
        <v>17</v>
      </c>
      <c r="B10" s="16">
        <v>7.3369999999999997</v>
      </c>
      <c r="C10" s="16">
        <v>0.23499999999999999</v>
      </c>
      <c r="D10" s="16">
        <v>7.37</v>
      </c>
      <c r="E10" s="16">
        <v>0.253</v>
      </c>
      <c r="F10" s="16">
        <v>7.48</v>
      </c>
      <c r="G10" s="16">
        <v>0.253</v>
      </c>
      <c r="H10" s="16">
        <v>7.4960000000000004</v>
      </c>
      <c r="I10" s="16">
        <v>0.29499999999999998</v>
      </c>
      <c r="J10" s="16">
        <v>7.6890000000000001</v>
      </c>
      <c r="K10" s="16">
        <v>0.29499999999999998</v>
      </c>
      <c r="L10" s="16">
        <v>7.7450000000000001</v>
      </c>
      <c r="M10" s="16">
        <v>0.40300000000000002</v>
      </c>
      <c r="N10" s="16">
        <v>8.0250000000000004</v>
      </c>
      <c r="O10" s="16">
        <v>0.40300000000000002</v>
      </c>
      <c r="P10">
        <v>7.9420000000000002</v>
      </c>
      <c r="Q10">
        <v>0.53500000000000003</v>
      </c>
      <c r="R10">
        <v>8.2720000000000002</v>
      </c>
      <c r="S10">
        <v>0.53500000000000003</v>
      </c>
      <c r="T10">
        <v>8.234</v>
      </c>
      <c r="U10">
        <v>0.91100000000000003</v>
      </c>
      <c r="V10">
        <v>8.6259999999999994</v>
      </c>
      <c r="W10">
        <v>0.91100000000000003</v>
      </c>
      <c r="Z10" s="12" t="s">
        <v>17</v>
      </c>
      <c r="AA10" s="14">
        <v>-7.92E-3</v>
      </c>
      <c r="AB10" s="14">
        <v>1.0580000000000001E-2</v>
      </c>
      <c r="AC10" s="13">
        <v>1.129</v>
      </c>
    </row>
    <row r="11" spans="1:30" s="15" customFormat="1" x14ac:dyDescent="0.2">
      <c r="A11" s="16" t="s">
        <v>18</v>
      </c>
      <c r="B11" s="16">
        <v>7.48</v>
      </c>
      <c r="C11" s="16">
        <v>0.22</v>
      </c>
      <c r="D11" s="16">
        <v>7.4690000000000003</v>
      </c>
      <c r="E11" s="16">
        <v>0.23699999999999999</v>
      </c>
      <c r="F11" s="16">
        <v>7.6760000000000002</v>
      </c>
      <c r="G11" s="16">
        <v>0.23699999999999999</v>
      </c>
      <c r="H11" s="16">
        <v>7.5810000000000004</v>
      </c>
      <c r="I11" s="16">
        <v>0.27700000000000002</v>
      </c>
      <c r="J11" s="16">
        <v>7.9390000000000001</v>
      </c>
      <c r="K11" s="16">
        <v>0.27700000000000002</v>
      </c>
      <c r="L11" s="16">
        <v>7.83</v>
      </c>
      <c r="M11" s="16">
        <v>0.378</v>
      </c>
      <c r="N11" s="16">
        <v>8.35</v>
      </c>
      <c r="O11" s="16">
        <v>0.378</v>
      </c>
      <c r="P11">
        <v>8.0350000000000001</v>
      </c>
      <c r="Q11">
        <v>0.502</v>
      </c>
      <c r="R11">
        <v>8.65</v>
      </c>
      <c r="S11">
        <v>0.502</v>
      </c>
      <c r="T11">
        <v>8.35</v>
      </c>
      <c r="U11">
        <v>0.85399999999999998</v>
      </c>
      <c r="V11">
        <v>9.08</v>
      </c>
      <c r="W11">
        <v>0.85399999999999998</v>
      </c>
      <c r="Z11" s="18" t="s">
        <v>18</v>
      </c>
      <c r="AA11" s="19">
        <v>-7.9000000000000008E-3</v>
      </c>
      <c r="AB11" s="19">
        <v>1.1039999999999999E-2</v>
      </c>
      <c r="AC11" s="20">
        <v>1.1329</v>
      </c>
    </row>
    <row r="12" spans="1:30" s="15" customFormat="1" x14ac:dyDescent="0.2">
      <c r="A12" s="16" t="s">
        <v>19</v>
      </c>
      <c r="B12" s="16">
        <v>7.71</v>
      </c>
      <c r="C12" s="16">
        <v>0.23</v>
      </c>
      <c r="D12" s="16">
        <v>7.657</v>
      </c>
      <c r="E12" s="16">
        <v>0.248</v>
      </c>
      <c r="F12" s="16">
        <v>7.9619999999999997</v>
      </c>
      <c r="G12" s="16">
        <v>0.248</v>
      </c>
      <c r="H12" s="16">
        <v>7.7489999999999997</v>
      </c>
      <c r="I12" s="16">
        <v>0.28999999999999998</v>
      </c>
      <c r="J12" s="16">
        <v>8.2759999999999998</v>
      </c>
      <c r="K12" s="16">
        <v>0.28999999999999998</v>
      </c>
      <c r="L12" s="16">
        <v>7.9950000000000001</v>
      </c>
      <c r="M12" s="16">
        <v>0.39500000000000002</v>
      </c>
      <c r="N12" s="16">
        <v>8.7650000000000006</v>
      </c>
      <c r="O12" s="16">
        <v>0.39500000000000002</v>
      </c>
      <c r="P12">
        <v>8.2110000000000003</v>
      </c>
      <c r="Q12">
        <v>0.52500000000000002</v>
      </c>
      <c r="R12">
        <v>9.1140000000000008</v>
      </c>
      <c r="S12">
        <v>0.52500000000000002</v>
      </c>
      <c r="T12">
        <v>8.5370000000000008</v>
      </c>
      <c r="U12">
        <v>0.89400000000000002</v>
      </c>
      <c r="V12">
        <v>9.6069999999999993</v>
      </c>
      <c r="W12">
        <v>0.89400000000000002</v>
      </c>
      <c r="Z12" s="18" t="s">
        <v>19</v>
      </c>
      <c r="AA12" s="19">
        <v>-7.9699999999999997E-3</v>
      </c>
      <c r="AB12" s="19">
        <v>1.15E-2</v>
      </c>
      <c r="AC12" s="20">
        <v>1.1388</v>
      </c>
    </row>
    <row r="13" spans="1:30" s="15" customFormat="1" x14ac:dyDescent="0.2">
      <c r="A13" s="16" t="s">
        <v>20</v>
      </c>
      <c r="B13" s="16">
        <v>7.88</v>
      </c>
      <c r="C13" s="16">
        <v>0.27</v>
      </c>
      <c r="D13" s="16">
        <v>7.8079999999999998</v>
      </c>
      <c r="E13" s="16">
        <v>0.29099999999999998</v>
      </c>
      <c r="F13" s="16">
        <v>8.1679999999999993</v>
      </c>
      <c r="G13" s="16">
        <v>0.29099999999999998</v>
      </c>
      <c r="H13" s="16">
        <v>7.8929999999999998</v>
      </c>
      <c r="I13" s="16">
        <v>0.33900000000000002</v>
      </c>
      <c r="J13" s="16">
        <v>8.5129999999999999</v>
      </c>
      <c r="K13" s="16">
        <v>0.33900000000000002</v>
      </c>
      <c r="L13" s="16">
        <v>8.1509999999999998</v>
      </c>
      <c r="M13" s="16">
        <v>0.46200000000000002</v>
      </c>
      <c r="N13" s="16">
        <v>9.0640000000000001</v>
      </c>
      <c r="O13" s="16">
        <v>0.46200000000000002</v>
      </c>
      <c r="P13">
        <v>8.3840000000000003</v>
      </c>
      <c r="Q13">
        <v>0.61399999999999999</v>
      </c>
      <c r="R13">
        <v>9.4610000000000003</v>
      </c>
      <c r="S13">
        <v>0.61399999999999999</v>
      </c>
      <c r="T13">
        <v>8.7309999999999999</v>
      </c>
      <c r="U13">
        <v>1.0449999999999999</v>
      </c>
      <c r="V13">
        <v>10.013999999999999</v>
      </c>
      <c r="W13">
        <v>1.0449999999999999</v>
      </c>
      <c r="Z13" s="18" t="s">
        <v>20</v>
      </c>
      <c r="AA13" s="19">
        <v>-7.7799999999999996E-3</v>
      </c>
      <c r="AB13" s="19">
        <v>1.187E-2</v>
      </c>
      <c r="AC13" s="20">
        <v>1.1446000000000001</v>
      </c>
    </row>
    <row r="14" spans="1:30" x14ac:dyDescent="0.2">
      <c r="A14" s="16" t="s">
        <v>21</v>
      </c>
      <c r="B14" s="16">
        <v>8.0229999999999997</v>
      </c>
      <c r="C14" s="16">
        <v>0.30499999999999999</v>
      </c>
      <c r="D14" s="16">
        <v>7.9829999999999997</v>
      </c>
      <c r="E14" s="16">
        <v>0.32900000000000001</v>
      </c>
      <c r="F14" s="16">
        <v>8.2729999999999997</v>
      </c>
      <c r="G14" s="16">
        <v>0.32900000000000001</v>
      </c>
      <c r="H14" s="16">
        <v>8.0879999999999992</v>
      </c>
      <c r="I14" s="16">
        <v>0.38300000000000001</v>
      </c>
      <c r="J14" s="16">
        <v>8.593</v>
      </c>
      <c r="K14" s="16">
        <v>0.38300000000000001</v>
      </c>
      <c r="L14" s="16">
        <v>8.3729999999999993</v>
      </c>
      <c r="M14" s="16">
        <v>0.52200000000000002</v>
      </c>
      <c r="N14" s="16">
        <v>9.1229999999999993</v>
      </c>
      <c r="O14" s="16">
        <v>0.52200000000000002</v>
      </c>
      <c r="P14">
        <v>8.6240000000000006</v>
      </c>
      <c r="Q14">
        <v>0.69399999999999995</v>
      </c>
      <c r="R14">
        <v>9.5210000000000008</v>
      </c>
      <c r="S14">
        <v>0.69399999999999995</v>
      </c>
      <c r="T14">
        <v>8.9990000000000006</v>
      </c>
      <c r="U14">
        <v>1.18</v>
      </c>
      <c r="V14">
        <v>10.071</v>
      </c>
      <c r="W14">
        <v>1.181</v>
      </c>
      <c r="Z14" s="18" t="s">
        <v>21</v>
      </c>
      <c r="AA14" s="19">
        <v>-7.4799999999999997E-3</v>
      </c>
      <c r="AB14" s="19">
        <v>1.26E-2</v>
      </c>
      <c r="AC14" s="20">
        <v>1.1567000000000001</v>
      </c>
      <c r="AD14" s="1"/>
    </row>
    <row r="15" spans="1:30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/>
      <c r="Q15"/>
      <c r="R15"/>
      <c r="S15"/>
      <c r="T15"/>
      <c r="U15"/>
      <c r="V15"/>
      <c r="W15"/>
      <c r="AD15" s="1"/>
    </row>
    <row r="16" spans="1:30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/>
      <c r="Q16"/>
      <c r="R16"/>
      <c r="S16"/>
      <c r="T16"/>
      <c r="U16"/>
      <c r="V16"/>
      <c r="W16"/>
    </row>
    <row r="17" spans="1:23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/>
      <c r="Q17"/>
      <c r="R17"/>
      <c r="S17"/>
      <c r="T17"/>
      <c r="U17"/>
      <c r="V17"/>
      <c r="W17"/>
    </row>
    <row r="18" spans="1:23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/>
      <c r="Q18"/>
      <c r="R18"/>
      <c r="S18"/>
      <c r="T18"/>
      <c r="U18"/>
      <c r="V18"/>
      <c r="W18"/>
    </row>
    <row r="19" spans="1:23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/>
      <c r="Q19"/>
      <c r="R19"/>
      <c r="S19"/>
      <c r="T19"/>
      <c r="U19"/>
      <c r="V19"/>
      <c r="W19"/>
    </row>
    <row r="20" spans="1:23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/>
      <c r="Q20"/>
      <c r="R20"/>
      <c r="S20"/>
      <c r="T20"/>
      <c r="U20"/>
      <c r="V20"/>
      <c r="W20"/>
    </row>
    <row r="21" spans="1:23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/>
      <c r="Q21"/>
      <c r="R21"/>
      <c r="S21"/>
      <c r="T21"/>
      <c r="U21"/>
      <c r="V21"/>
      <c r="W21"/>
    </row>
    <row r="22" spans="1:23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/>
      <c r="Q22"/>
      <c r="R22"/>
      <c r="S22"/>
      <c r="T22"/>
      <c r="U22"/>
      <c r="V22"/>
      <c r="W22"/>
    </row>
    <row r="23" spans="1:23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/>
      <c r="Q23"/>
      <c r="R23"/>
      <c r="S23"/>
      <c r="T23"/>
      <c r="U23"/>
      <c r="V23"/>
      <c r="W23"/>
    </row>
    <row r="24" spans="1:23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/>
      <c r="Q24"/>
      <c r="R24"/>
      <c r="S24"/>
      <c r="T24"/>
      <c r="U24"/>
      <c r="V24"/>
      <c r="W24"/>
    </row>
    <row r="25" spans="1:23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/>
      <c r="Q25"/>
      <c r="R25"/>
      <c r="S25"/>
      <c r="T25"/>
      <c r="U25"/>
      <c r="V25"/>
      <c r="W25"/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workbookViewId="0">
      <selection activeCell="G11" sqref="G11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27</v>
      </c>
      <c r="B1" s="1" t="s">
        <v>9</v>
      </c>
      <c r="C1" s="1" t="s">
        <v>7</v>
      </c>
      <c r="D1" s="1" t="s">
        <v>5</v>
      </c>
      <c r="E1" s="1" t="s">
        <v>3</v>
      </c>
      <c r="F1" s="1" t="s">
        <v>1</v>
      </c>
      <c r="G1" s="1" t="s">
        <v>0</v>
      </c>
      <c r="H1" s="1" t="s">
        <v>2</v>
      </c>
      <c r="I1" s="1" t="s">
        <v>4</v>
      </c>
      <c r="J1" s="1" t="s">
        <v>6</v>
      </c>
      <c r="K1" s="1" t="s">
        <v>8</v>
      </c>
      <c r="L1" s="1" t="s">
        <v>10</v>
      </c>
      <c r="N1" s="3" t="s">
        <v>24</v>
      </c>
      <c r="O1" s="3" t="s">
        <v>56</v>
      </c>
      <c r="P1" s="3" t="s">
        <v>52</v>
      </c>
      <c r="Q1" s="3" t="s">
        <v>57</v>
      </c>
      <c r="S1" s="10" t="s">
        <v>25</v>
      </c>
      <c r="T1" s="6">
        <v>1.1187</v>
      </c>
      <c r="U1" s="2"/>
    </row>
    <row r="2" spans="1:21" x14ac:dyDescent="0.2">
      <c r="A2" s="1" t="s">
        <v>11</v>
      </c>
      <c r="B2" s="6">
        <f>Book1!T4-0.5*Book1!U4</f>
        <v>5.2874999999999996</v>
      </c>
      <c r="C2" s="6">
        <f>Book1!P4-0.5*Book1!Q4</f>
        <v>5.782</v>
      </c>
      <c r="D2" s="6">
        <f>Book1!L4-0.5*Book1!M4</f>
        <v>5.8925000000000001</v>
      </c>
      <c r="E2" s="6">
        <f>Book1!H4-0.5*Book1!I4</f>
        <v>5.8970000000000002</v>
      </c>
      <c r="F2" s="6">
        <f>Book1!D4-0.5*Book1!E4</f>
        <v>5.8565000000000005</v>
      </c>
      <c r="G2" s="6">
        <f>Book1!B4-0.5*Book1!C4</f>
        <v>5.8150000000000004</v>
      </c>
      <c r="H2" s="6">
        <f>Book1!F4-0.5*Book1!G4</f>
        <v>5.8215000000000003</v>
      </c>
      <c r="I2" s="6">
        <f>Book1!J4-0.5*Book1!K4</f>
        <v>5.8340000000000005</v>
      </c>
      <c r="J2" s="6">
        <f>Book1!N4-0.5*Book1!O4</f>
        <v>5.7974999999999994</v>
      </c>
      <c r="K2" s="6">
        <f>Book1!R4-0.5*Book1!S4</f>
        <v>5.6690000000000005</v>
      </c>
      <c r="L2" s="6">
        <f>Book1!V4-0.5*Book1!W4</f>
        <v>5.1479999999999997</v>
      </c>
      <c r="N2" s="1">
        <f>1/52</f>
        <v>1.9230769230769232E-2</v>
      </c>
      <c r="O2" s="9">
        <f>Book1!AA4</f>
        <v>-7.9299999999999995E-3</v>
      </c>
      <c r="P2" s="9">
        <f>Book1!AB4</f>
        <v>8.1300000000000001E-3</v>
      </c>
      <c r="Q2" s="5">
        <f>Book1!AC4</f>
        <v>1.1223000000000001</v>
      </c>
      <c r="S2" s="6">
        <f>Q2*EXP(-(P2-O2)*N2)</f>
        <v>1.1219534354818526</v>
      </c>
      <c r="T2" s="1">
        <f>$T$1*EXP((P2-O2)*N2)</f>
        <v>1.1190455595519304</v>
      </c>
    </row>
    <row r="3" spans="1:21" x14ac:dyDescent="0.2">
      <c r="A3" s="1" t="s">
        <v>12</v>
      </c>
      <c r="B3" s="6">
        <f>Book1!T5-0.5*Book1!U5</f>
        <v>6.1289999999999996</v>
      </c>
      <c r="C3" s="6">
        <f>Book1!P5-0.5*Book1!Q5</f>
        <v>6.3740000000000006</v>
      </c>
      <c r="D3" s="6">
        <f>Book1!L5-0.5*Book1!M5</f>
        <v>6.3929999999999998</v>
      </c>
      <c r="E3" s="6">
        <f>Book1!H5-0.5*Book1!I5</f>
        <v>6.3239999999999998</v>
      </c>
      <c r="F3" s="6">
        <f>Book1!D5-0.5*Book1!E5</f>
        <v>6.2495000000000003</v>
      </c>
      <c r="G3" s="6">
        <f>Book1!B5-0.5*Book1!C5</f>
        <v>6.1955</v>
      </c>
      <c r="H3" s="6">
        <f>Book1!F5-0.5*Book1!G5</f>
        <v>6.2214999999999998</v>
      </c>
      <c r="I3" s="6">
        <f>Book1!J5-0.5*Book1!K5</f>
        <v>6.2789999999999999</v>
      </c>
      <c r="J3" s="6">
        <f>Book1!N5-0.5*Book1!O5</f>
        <v>6.3309999999999995</v>
      </c>
      <c r="K3" s="6">
        <f>Book1!R5-0.5*Book1!S5</f>
        <v>6.3040000000000003</v>
      </c>
      <c r="L3" s="6">
        <f>Book1!V5-0.5*Book1!W5</f>
        <v>6.0500000000000007</v>
      </c>
      <c r="N3" s="1">
        <f>2/52</f>
        <v>3.8461538461538464E-2</v>
      </c>
      <c r="O3" s="9">
        <f>Book1!AA5</f>
        <v>-1.009E-2</v>
      </c>
      <c r="P3" s="9">
        <f>Book1!AB5</f>
        <v>6.0899999999999999E-3</v>
      </c>
      <c r="Q3" s="5">
        <f>Book1!AC5</f>
        <v>1.1226</v>
      </c>
      <c r="S3" s="6">
        <f t="shared" ref="S3:S11" si="0">Q3*EXP(-(P3-O3)*N3)</f>
        <v>1.1219016147124221</v>
      </c>
      <c r="T3" s="1">
        <f t="shared" ref="T3:T11" si="1">$T$1*EXP((P3-O3)*N3)</f>
        <v>1.1193963922780463</v>
      </c>
    </row>
    <row r="4" spans="1:21" x14ac:dyDescent="0.2">
      <c r="A4" s="1" t="s">
        <v>13</v>
      </c>
      <c r="B4" s="6">
        <f>Book1!T6-0.5*Book1!U6</f>
        <v>7.730500000000001</v>
      </c>
      <c r="C4" s="6">
        <f>Book1!P6-0.5*Book1!Q6</f>
        <v>7.8265000000000002</v>
      </c>
      <c r="D4" s="6">
        <f>Book1!L6-0.5*Book1!M6</f>
        <v>7.7824999999999998</v>
      </c>
      <c r="E4" s="6">
        <f>Book1!H6-0.5*Book1!I6</f>
        <v>7.6589999999999998</v>
      </c>
      <c r="F4" s="6">
        <f>Book1!D6-0.5*Book1!E6</f>
        <v>7.5545</v>
      </c>
      <c r="G4" s="6">
        <f>Book1!B6-0.5*Book1!C6</f>
        <v>7.4749999999999996</v>
      </c>
      <c r="H4" s="6">
        <f>Book1!F6-0.5*Book1!G6</f>
        <v>7.4995000000000003</v>
      </c>
      <c r="I4" s="6">
        <f>Book1!J6-0.5*Book1!K6</f>
        <v>7.569</v>
      </c>
      <c r="J4" s="6">
        <f>Book1!N6-0.5*Book1!O6</f>
        <v>7.6425000000000001</v>
      </c>
      <c r="K4" s="6">
        <f>Book1!R6-0.5*Book1!S6</f>
        <v>7.6615000000000011</v>
      </c>
      <c r="L4" s="6">
        <f>Book1!V6-0.5*Book1!W6</f>
        <v>7.5250000000000004</v>
      </c>
      <c r="N4" s="1">
        <f>3/52</f>
        <v>5.7692307692307696E-2</v>
      </c>
      <c r="O4" s="9">
        <f>Book1!AA6</f>
        <v>-9.0200000000000002E-3</v>
      </c>
      <c r="P4" s="9">
        <f>Book1!AB6</f>
        <v>7.2399999999999999E-3</v>
      </c>
      <c r="Q4" s="5">
        <f>Book1!AC6</f>
        <v>1.123</v>
      </c>
      <c r="S4" s="6">
        <f t="shared" si="0"/>
        <v>1.1219470335743535</v>
      </c>
      <c r="T4" s="1">
        <f t="shared" si="1"/>
        <v>1.1197499190292595</v>
      </c>
    </row>
    <row r="5" spans="1:21" x14ac:dyDescent="0.2">
      <c r="A5" s="1" t="s">
        <v>14</v>
      </c>
      <c r="B5" s="6">
        <f>Book1!T7-0.5*Book1!U7</f>
        <v>7.94</v>
      </c>
      <c r="C5" s="6">
        <f>Book1!P7-0.5*Book1!Q7</f>
        <v>7.9515000000000002</v>
      </c>
      <c r="D5" s="6">
        <f>Book1!L7-0.5*Book1!M7</f>
        <v>7.8685</v>
      </c>
      <c r="E5" s="6">
        <f>Book1!H7-0.5*Book1!I7</f>
        <v>7.7050000000000001</v>
      </c>
      <c r="F5" s="6">
        <f>Book1!D7-0.5*Book1!E7</f>
        <v>7.5890000000000004</v>
      </c>
      <c r="G5" s="6">
        <f>Book1!B7-0.5*Book1!C7</f>
        <v>7.5149999999999997</v>
      </c>
      <c r="H5" s="6">
        <f>Book1!F7-0.5*Book1!G7</f>
        <v>7.5490000000000004</v>
      </c>
      <c r="I5" s="6">
        <f>Book1!J7-0.5*Book1!K7</f>
        <v>7.6349999999999998</v>
      </c>
      <c r="J5" s="6">
        <f>Book1!N7-0.5*Book1!O7</f>
        <v>7.7615000000000007</v>
      </c>
      <c r="K5" s="6">
        <f>Book1!R7-0.5*Book1!S7</f>
        <v>7.8214999999999995</v>
      </c>
      <c r="L5" s="6">
        <f>Book1!V7-0.5*Book1!W7</f>
        <v>7.7819999999999991</v>
      </c>
      <c r="N5" s="1">
        <f>1/12</f>
        <v>8.3333333333333329E-2</v>
      </c>
      <c r="O5" s="9">
        <f>Book1!AA7</f>
        <v>-8.2799999999999992E-3</v>
      </c>
      <c r="P5" s="9">
        <f>Book1!AB7</f>
        <v>8.6300000000000005E-3</v>
      </c>
      <c r="Q5" s="5">
        <f>Book1!AC7</f>
        <v>1.1234999999999999</v>
      </c>
      <c r="S5" s="6">
        <f t="shared" si="0"/>
        <v>1.1219179162216641</v>
      </c>
      <c r="T5" s="1">
        <f t="shared" si="1"/>
        <v>1.1202775460015693</v>
      </c>
    </row>
    <row r="6" spans="1:21" x14ac:dyDescent="0.2">
      <c r="A6" s="1" t="s">
        <v>15</v>
      </c>
      <c r="B6" s="6">
        <f>Book1!T8-0.5*Book1!U8</f>
        <v>7.6120000000000001</v>
      </c>
      <c r="C6" s="6">
        <f>Book1!P8-0.5*Book1!Q8</f>
        <v>7.5575000000000001</v>
      </c>
      <c r="D6" s="6">
        <f>Book1!L8-0.5*Book1!M8</f>
        <v>7.4515000000000002</v>
      </c>
      <c r="E6" s="6">
        <f>Book1!H8-0.5*Book1!I8</f>
        <v>7.2654999999999994</v>
      </c>
      <c r="F6" s="6">
        <f>Book1!D8-0.5*Book1!E8</f>
        <v>7.1475</v>
      </c>
      <c r="G6" s="6">
        <f>Book1!B8-0.5*Book1!C8</f>
        <v>7.085</v>
      </c>
      <c r="H6" s="6">
        <f>Book1!F8-0.5*Book1!G8</f>
        <v>7.1574999999999998</v>
      </c>
      <c r="I6" s="6">
        <f>Book1!J8-0.5*Book1!K8</f>
        <v>7.2805</v>
      </c>
      <c r="J6" s="6">
        <f>Book1!N8-0.5*Book1!O8</f>
        <v>7.4715000000000007</v>
      </c>
      <c r="K6" s="6">
        <f>Book1!R8-0.5*Book1!S8</f>
        <v>7.5824999999999996</v>
      </c>
      <c r="L6" s="6">
        <f>Book1!V8-0.5*Book1!W8</f>
        <v>7.6419999999999995</v>
      </c>
      <c r="N6" s="1">
        <f>2/12</f>
        <v>0.16666666666666666</v>
      </c>
      <c r="O6" s="9">
        <f>Book1!AA8</f>
        <v>-8.6899999999999998E-3</v>
      </c>
      <c r="P6" s="9">
        <f>Book1!AB8</f>
        <v>9.9600000000000001E-3</v>
      </c>
      <c r="Q6" s="5">
        <f>Book1!AC8</f>
        <v>1.1254999999999999</v>
      </c>
      <c r="S6" s="6">
        <f t="shared" si="0"/>
        <v>1.1220070023462214</v>
      </c>
      <c r="T6" s="1">
        <f t="shared" si="1"/>
        <v>1.1221827023958948</v>
      </c>
    </row>
    <row r="7" spans="1:21" x14ac:dyDescent="0.2">
      <c r="A7" s="1" t="s">
        <v>16</v>
      </c>
      <c r="B7" s="6">
        <f>Book1!T9-0.5*Book1!U9</f>
        <v>7.6690000000000005</v>
      </c>
      <c r="C7" s="6">
        <f>Book1!P9-0.5*Book1!Q9</f>
        <v>7.4690000000000003</v>
      </c>
      <c r="D7" s="6">
        <f>Book1!L9-0.5*Book1!M9</f>
        <v>7.431</v>
      </c>
      <c r="E7" s="6">
        <f>Book1!H9-0.5*Book1!I9</f>
        <v>7.1749999999999998</v>
      </c>
      <c r="F7" s="6">
        <f>Book1!D9-0.5*Book1!E9</f>
        <v>7.1030000000000006</v>
      </c>
      <c r="G7" s="6">
        <f>Book1!B9-0.5*Book1!C9</f>
        <v>7.0555000000000003</v>
      </c>
      <c r="H7" s="6">
        <f>Book1!F9-0.5*Book1!G9</f>
        <v>7.1530000000000005</v>
      </c>
      <c r="I7" s="6">
        <f>Book1!J9-0.5*Book1!K9</f>
        <v>7.3570000000000002</v>
      </c>
      <c r="J7" s="6">
        <f>Book1!N9-0.5*Book1!O9</f>
        <v>7.5540000000000003</v>
      </c>
      <c r="K7" s="6">
        <f>Book1!R9-0.5*Book1!S9</f>
        <v>7.8079999999999998</v>
      </c>
      <c r="L7" s="6">
        <f>Book1!V9-0.5*Book1!W9</f>
        <v>7.8410000000000011</v>
      </c>
      <c r="N7" s="1">
        <f>3/12</f>
        <v>0.25</v>
      </c>
      <c r="O7" s="9">
        <f>Book1!AA9</f>
        <v>-8.1700000000000002E-3</v>
      </c>
      <c r="P7" s="9">
        <f>Book1!AB9</f>
        <v>1.038E-2</v>
      </c>
      <c r="Q7" s="5">
        <f>Book1!AC9</f>
        <v>1.1273</v>
      </c>
      <c r="S7" s="6">
        <f t="shared" si="0"/>
        <v>1.1220842496188634</v>
      </c>
      <c r="T7" s="1">
        <f t="shared" si="1"/>
        <v>1.1239000194756852</v>
      </c>
    </row>
    <row r="8" spans="1:21" x14ac:dyDescent="0.2">
      <c r="A8" s="1" t="s">
        <v>17</v>
      </c>
      <c r="B8" s="6">
        <f>Book1!T10-0.5*Book1!U10</f>
        <v>7.7785000000000002</v>
      </c>
      <c r="C8" s="6">
        <f>Book1!P10-0.5*Book1!Q10</f>
        <v>7.6745000000000001</v>
      </c>
      <c r="D8" s="6">
        <f>Book1!L10-0.5*Book1!M10</f>
        <v>7.5434999999999999</v>
      </c>
      <c r="E8" s="6">
        <f>Book1!H10-0.5*Book1!I10</f>
        <v>7.3485000000000005</v>
      </c>
      <c r="F8" s="6">
        <f>Book1!D10-0.5*Book1!E10</f>
        <v>7.2435</v>
      </c>
      <c r="G8" s="6">
        <f>Book1!B10-0.5*Book1!C10</f>
        <v>7.2195</v>
      </c>
      <c r="H8" s="6">
        <f>Book1!F10-0.5*Book1!G10</f>
        <v>7.3535000000000004</v>
      </c>
      <c r="I8" s="6">
        <f>Book1!J10-0.5*Book1!K10</f>
        <v>7.5415000000000001</v>
      </c>
      <c r="J8" s="6">
        <f>Book1!N10-0.5*Book1!O10</f>
        <v>7.8235000000000001</v>
      </c>
      <c r="K8" s="6">
        <f>Book1!R10-0.5*Book1!S10</f>
        <v>8.0045000000000002</v>
      </c>
      <c r="L8" s="6">
        <f>Book1!V10-0.5*Book1!W10</f>
        <v>8.1704999999999988</v>
      </c>
      <c r="N8" s="1">
        <f>4/12</f>
        <v>0.33333333333333331</v>
      </c>
      <c r="O8" s="9">
        <f>Book1!AA10</f>
        <v>-7.92E-3</v>
      </c>
      <c r="P8" s="9">
        <f>Book1!AB10</f>
        <v>1.0580000000000001E-2</v>
      </c>
      <c r="Q8" s="5">
        <f>Book1!AC10</f>
        <v>1.129</v>
      </c>
      <c r="S8" s="6">
        <f t="shared" si="0"/>
        <v>1.1220592559558782</v>
      </c>
      <c r="T8" s="1">
        <f t="shared" si="1"/>
        <v>1.1256199646283782</v>
      </c>
    </row>
    <row r="9" spans="1:21" x14ac:dyDescent="0.2">
      <c r="A9" s="1" t="s">
        <v>18</v>
      </c>
      <c r="B9" s="6">
        <f>Book1!T11-0.5*Book1!U11</f>
        <v>7.923</v>
      </c>
      <c r="C9" s="6">
        <f>Book1!P11-0.5*Book1!Q11</f>
        <v>7.7839999999999998</v>
      </c>
      <c r="D9" s="6">
        <f>Book1!L11-0.5*Book1!M11</f>
        <v>7.641</v>
      </c>
      <c r="E9" s="6">
        <f>Book1!H11-0.5*Book1!I11</f>
        <v>7.4425000000000008</v>
      </c>
      <c r="F9" s="6">
        <f>Book1!D11-0.5*Book1!E11</f>
        <v>7.3505000000000003</v>
      </c>
      <c r="G9" s="6">
        <f>Book1!B11-0.5*Book1!C11</f>
        <v>7.37</v>
      </c>
      <c r="H9" s="6">
        <f>Book1!F11-0.5*Book1!G11</f>
        <v>7.5575000000000001</v>
      </c>
      <c r="I9" s="6">
        <f>Book1!J11-0.5*Book1!K11</f>
        <v>7.8005000000000004</v>
      </c>
      <c r="J9" s="6">
        <f>Book1!N11-0.5*Book1!O11</f>
        <v>8.1609999999999996</v>
      </c>
      <c r="K9" s="6">
        <f>Book1!R11-0.5*Book1!S11</f>
        <v>8.3990000000000009</v>
      </c>
      <c r="L9" s="6">
        <f>Book1!V11-0.5*Book1!W11</f>
        <v>8.6530000000000005</v>
      </c>
      <c r="N9" s="1">
        <f>6/12</f>
        <v>0.5</v>
      </c>
      <c r="O9" s="9">
        <f>Book1!AA11</f>
        <v>-7.9000000000000008E-3</v>
      </c>
      <c r="P9" s="9">
        <f>Book1!AB11</f>
        <v>1.1039999999999999E-2</v>
      </c>
      <c r="Q9" s="5">
        <f>Book1!AC11</f>
        <v>1.1329</v>
      </c>
      <c r="S9" s="6">
        <f t="shared" si="0"/>
        <v>1.12222207676687</v>
      </c>
      <c r="T9" s="1">
        <f t="shared" si="1"/>
        <v>1.1293444107349209</v>
      </c>
    </row>
    <row r="10" spans="1:21" x14ac:dyDescent="0.2">
      <c r="A10" s="1" t="s">
        <v>19</v>
      </c>
      <c r="B10" s="6">
        <f>Book1!T12-0.5*Book1!U12</f>
        <v>8.0900000000000016</v>
      </c>
      <c r="C10" s="6">
        <f>Book1!P12-0.5*Book1!Q12</f>
        <v>7.9485000000000001</v>
      </c>
      <c r="D10" s="6">
        <f>Book1!L12-0.5*Book1!M12</f>
        <v>7.7975000000000003</v>
      </c>
      <c r="E10" s="6">
        <f>Book1!H12-0.5*Book1!I12</f>
        <v>7.6040000000000001</v>
      </c>
      <c r="F10" s="6">
        <f>Book1!D12-0.5*Book1!E12</f>
        <v>7.5330000000000004</v>
      </c>
      <c r="G10" s="6">
        <f>Book1!B12-0.5*Book1!C12</f>
        <v>7.5949999999999998</v>
      </c>
      <c r="H10" s="6">
        <f>Book1!F12-0.5*Book1!G12</f>
        <v>7.8380000000000001</v>
      </c>
      <c r="I10" s="6">
        <f>Book1!J12-0.5*Book1!K12</f>
        <v>8.1310000000000002</v>
      </c>
      <c r="J10" s="6">
        <f>Book1!N12-0.5*Book1!O12</f>
        <v>8.5675000000000008</v>
      </c>
      <c r="K10" s="6">
        <f>Book1!R12-0.5*Book1!S12</f>
        <v>8.8515000000000015</v>
      </c>
      <c r="L10" s="6">
        <f>Book1!V12-0.5*Book1!W12</f>
        <v>9.16</v>
      </c>
      <c r="N10" s="1">
        <f>9/12</f>
        <v>0.75</v>
      </c>
      <c r="O10" s="9">
        <f>Book1!AA12</f>
        <v>-7.9699999999999997E-3</v>
      </c>
      <c r="P10" s="9">
        <f>Book1!AB12</f>
        <v>1.15E-2</v>
      </c>
      <c r="Q10" s="5">
        <f>Book1!AC12</f>
        <v>1.1388</v>
      </c>
      <c r="S10" s="6">
        <f t="shared" si="0"/>
        <v>1.1222914990380466</v>
      </c>
      <c r="T10" s="1">
        <f t="shared" si="1"/>
        <v>1.1351556713135285</v>
      </c>
    </row>
    <row r="11" spans="1:21" x14ac:dyDescent="0.2">
      <c r="A11" s="1" t="s">
        <v>20</v>
      </c>
      <c r="B11" s="6">
        <f>Book1!T13-0.5*Book1!U13</f>
        <v>8.2085000000000008</v>
      </c>
      <c r="C11" s="6">
        <f>Book1!P13-0.5*Book1!Q13</f>
        <v>8.077</v>
      </c>
      <c r="D11" s="6">
        <f>Book1!L13-0.5*Book1!M13</f>
        <v>7.92</v>
      </c>
      <c r="E11" s="6">
        <f>Book1!H13-0.5*Book1!I13</f>
        <v>7.7234999999999996</v>
      </c>
      <c r="F11" s="6">
        <f>Book1!D13-0.5*Book1!E13</f>
        <v>7.6624999999999996</v>
      </c>
      <c r="G11" s="6">
        <f>Book1!B13-0.5*Book1!C13</f>
        <v>7.7450000000000001</v>
      </c>
      <c r="H11" s="6">
        <f>Book1!F13-0.5*Book1!G13</f>
        <v>8.0224999999999991</v>
      </c>
      <c r="I11" s="6">
        <f>Book1!J13-0.5*Book1!K13</f>
        <v>8.3435000000000006</v>
      </c>
      <c r="J11" s="6">
        <f>Book1!N13-0.5*Book1!O13</f>
        <v>8.8330000000000002</v>
      </c>
      <c r="K11" s="6">
        <f>Book1!R13-0.5*Book1!S13</f>
        <v>9.1539999999999999</v>
      </c>
      <c r="L11" s="6">
        <f>Book1!V13-0.5*Book1!W13</f>
        <v>9.4914999999999985</v>
      </c>
      <c r="N11" s="1">
        <v>1</v>
      </c>
      <c r="O11" s="9">
        <f>Book1!AA13</f>
        <v>-7.7799999999999996E-3</v>
      </c>
      <c r="P11" s="9">
        <f>Book1!AB13</f>
        <v>1.187E-2</v>
      </c>
      <c r="Q11" s="5">
        <f>Book1!AC13</f>
        <v>1.1446000000000001</v>
      </c>
      <c r="S11" s="6">
        <f t="shared" si="0"/>
        <v>1.1223281475839868</v>
      </c>
      <c r="T11" s="1">
        <f t="shared" si="1"/>
        <v>1.1408998542506745</v>
      </c>
    </row>
    <row r="12" spans="1:21" x14ac:dyDescent="0.2"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-1</v>
      </c>
      <c r="I12" s="1">
        <v>-1</v>
      </c>
      <c r="J12" s="1">
        <v>-1</v>
      </c>
      <c r="K12" s="1">
        <v>-1</v>
      </c>
      <c r="L12" s="1">
        <v>-1</v>
      </c>
    </row>
    <row r="13" spans="1:21" x14ac:dyDescent="0.2">
      <c r="A13" s="7" t="s">
        <v>26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  <c r="O13" s="1" t="s">
        <v>54</v>
      </c>
      <c r="P13" s="1" t="s">
        <v>53</v>
      </c>
    </row>
    <row r="14" spans="1:21" x14ac:dyDescent="0.2">
      <c r="A14" s="1" t="s">
        <v>11</v>
      </c>
      <c r="B14" s="5">
        <f>strike(B$13,$T2,B2/100,$N2,$O2,B$12)</f>
        <v>1.1326536914993239</v>
      </c>
      <c r="C14" s="5">
        <f t="shared" ref="C14:L14" si="2">strike(C$13,$T2,C2/100,$N2,$O2,C$12)</f>
        <v>1.1306394047686872</v>
      </c>
      <c r="D14" s="5">
        <f t="shared" si="2"/>
        <v>1.1285999333331183</v>
      </c>
      <c r="E14" s="5">
        <f t="shared" si="2"/>
        <v>1.125271513656553</v>
      </c>
      <c r="F14" s="5">
        <f t="shared" si="2"/>
        <v>1.1225886734075965</v>
      </c>
      <c r="G14" s="5">
        <f t="shared" si="2"/>
        <v>1.1190802194962166</v>
      </c>
      <c r="H14" s="5">
        <f t="shared" si="2"/>
        <v>1.1156076265508272</v>
      </c>
      <c r="I14" s="5">
        <f t="shared" si="2"/>
        <v>1.1129932573225882</v>
      </c>
      <c r="J14" s="5">
        <f t="shared" si="2"/>
        <v>1.1097964843781243</v>
      </c>
      <c r="K14" s="5">
        <f t="shared" si="2"/>
        <v>1.1078628784248929</v>
      </c>
      <c r="L14" s="5">
        <f t="shared" si="2"/>
        <v>1.1060106776271481</v>
      </c>
    </row>
    <row r="15" spans="1:21" x14ac:dyDescent="0.2">
      <c r="A15" s="1" t="s">
        <v>12</v>
      </c>
      <c r="B15" s="5">
        <f t="shared" ref="B15:L23" si="3">strike(B$13,$T3,B3/100,$N3,$O3,B$12)</f>
        <v>1.141828190911792</v>
      </c>
      <c r="C15" s="5">
        <f t="shared" si="3"/>
        <v>1.137559220357915</v>
      </c>
      <c r="D15" s="5">
        <f t="shared" si="3"/>
        <v>1.1341228885315042</v>
      </c>
      <c r="E15" s="5">
        <f t="shared" si="3"/>
        <v>1.1288822776743312</v>
      </c>
      <c r="F15" s="5">
        <f t="shared" si="3"/>
        <v>1.1247747714473701</v>
      </c>
      <c r="G15" s="5">
        <f t="shared" si="3"/>
        <v>1.1194724073967608</v>
      </c>
      <c r="H15" s="5">
        <f t="shared" si="3"/>
        <v>1.114233896346924</v>
      </c>
      <c r="I15" s="5">
        <f t="shared" si="3"/>
        <v>1.1102258104951952</v>
      </c>
      <c r="J15" s="5">
        <f t="shared" si="3"/>
        <v>1.1051723669289835</v>
      </c>
      <c r="K15" s="5">
        <f t="shared" si="3"/>
        <v>1.1018876272540858</v>
      </c>
      <c r="L15" s="5">
        <f t="shared" si="3"/>
        <v>1.0978415172496387</v>
      </c>
    </row>
    <row r="16" spans="1:21" x14ac:dyDescent="0.2">
      <c r="A16" s="1" t="s">
        <v>13</v>
      </c>
      <c r="B16" s="5">
        <f t="shared" si="3"/>
        <v>1.1546702635201525</v>
      </c>
      <c r="C16" s="5">
        <f t="shared" si="3"/>
        <v>1.1472501747744437</v>
      </c>
      <c r="D16" s="5">
        <f t="shared" si="3"/>
        <v>1.141847810740074</v>
      </c>
      <c r="E16" s="5">
        <f t="shared" si="3"/>
        <v>1.1339137963980768</v>
      </c>
      <c r="F16" s="5">
        <f t="shared" si="3"/>
        <v>1.1277819640606999</v>
      </c>
      <c r="G16" s="5">
        <f t="shared" si="3"/>
        <v>1.1199172968660283</v>
      </c>
      <c r="H16" s="5">
        <f t="shared" si="3"/>
        <v>1.1121950775298211</v>
      </c>
      <c r="I16" s="5">
        <f t="shared" si="3"/>
        <v>1.1062940676375022</v>
      </c>
      <c r="J16" s="5">
        <f t="shared" si="3"/>
        <v>1.0988393827381286</v>
      </c>
      <c r="K16" s="5">
        <f t="shared" si="3"/>
        <v>1.0938423853099883</v>
      </c>
      <c r="L16" s="5">
        <f t="shared" si="3"/>
        <v>1.0871324253149748</v>
      </c>
    </row>
    <row r="17" spans="1:17" x14ac:dyDescent="0.2">
      <c r="A17" s="1" t="s">
        <v>14</v>
      </c>
      <c r="B17" s="5">
        <f t="shared" si="3"/>
        <v>1.1636165233951226</v>
      </c>
      <c r="C17" s="5">
        <f t="shared" si="3"/>
        <v>1.1540155236071497</v>
      </c>
      <c r="D17" s="5">
        <f t="shared" si="3"/>
        <v>1.1472483282157571</v>
      </c>
      <c r="E17" s="5">
        <f t="shared" si="3"/>
        <v>1.1374785721052254</v>
      </c>
      <c r="F17" s="5">
        <f t="shared" si="3"/>
        <v>1.1300293172663785</v>
      </c>
      <c r="G17" s="5">
        <f t="shared" si="3"/>
        <v>1.1205201642635554</v>
      </c>
      <c r="H17" s="5">
        <f t="shared" si="3"/>
        <v>1.111189636359297</v>
      </c>
      <c r="I17" s="5">
        <f t="shared" si="3"/>
        <v>1.1040280226242183</v>
      </c>
      <c r="J17" s="5">
        <f t="shared" si="3"/>
        <v>1.0948480479208178</v>
      </c>
      <c r="K17" s="5">
        <f t="shared" si="3"/>
        <v>1.0886130336183115</v>
      </c>
      <c r="L17" s="5">
        <f t="shared" si="3"/>
        <v>1.0799180606768468</v>
      </c>
    </row>
    <row r="18" spans="1:17" x14ac:dyDescent="0.2">
      <c r="A18" s="1" t="s">
        <v>15</v>
      </c>
      <c r="B18" s="5">
        <f t="shared" si="3"/>
        <v>1.1815792633506943</v>
      </c>
      <c r="C18" s="5">
        <f t="shared" si="3"/>
        <v>1.1679689563653561</v>
      </c>
      <c r="D18" s="5">
        <f t="shared" si="3"/>
        <v>1.1586307653134396</v>
      </c>
      <c r="E18" s="5">
        <f t="shared" si="3"/>
        <v>1.145324435459957</v>
      </c>
      <c r="F18" s="5">
        <f t="shared" si="3"/>
        <v>1.135309018679499</v>
      </c>
      <c r="G18" s="5">
        <f t="shared" si="3"/>
        <v>1.1225932361094408</v>
      </c>
      <c r="H18" s="5">
        <f t="shared" si="3"/>
        <v>1.1101369062182214</v>
      </c>
      <c r="I18" s="5">
        <f t="shared" si="3"/>
        <v>1.1004329457903717</v>
      </c>
      <c r="J18" s="5">
        <f t="shared" si="3"/>
        <v>1.0877982293238802</v>
      </c>
      <c r="K18" s="5">
        <f t="shared" si="3"/>
        <v>1.0790805387463274</v>
      </c>
      <c r="L18" s="5">
        <f t="shared" si="3"/>
        <v>1.0665909283374346</v>
      </c>
    </row>
    <row r="19" spans="1:17" x14ac:dyDescent="0.2">
      <c r="A19" s="1" t="s">
        <v>16</v>
      </c>
      <c r="B19" s="5">
        <f t="shared" si="3"/>
        <v>1.1979046452775102</v>
      </c>
      <c r="C19" s="5">
        <f t="shared" si="3"/>
        <v>1.1797684488510292</v>
      </c>
      <c r="D19" s="5">
        <f t="shared" si="3"/>
        <v>1.1687734755824739</v>
      </c>
      <c r="E19" s="5">
        <f t="shared" si="3"/>
        <v>1.1521018276523367</v>
      </c>
      <c r="F19" s="5">
        <f t="shared" si="3"/>
        <v>1.1400265160869676</v>
      </c>
      <c r="G19" s="5">
        <f t="shared" si="3"/>
        <v>1.1244979268784234</v>
      </c>
      <c r="H19" s="5">
        <f t="shared" si="3"/>
        <v>1.1093036208089533</v>
      </c>
      <c r="I19" s="5">
        <f t="shared" si="3"/>
        <v>1.097164798479612</v>
      </c>
      <c r="J19" s="5">
        <f t="shared" si="3"/>
        <v>1.0815786010592789</v>
      </c>
      <c r="K19" s="5">
        <f t="shared" si="3"/>
        <v>1.0699164196530657</v>
      </c>
      <c r="L19" s="5">
        <f t="shared" si="3"/>
        <v>1.0545621481151441</v>
      </c>
    </row>
    <row r="20" spans="1:17" x14ac:dyDescent="0.2">
      <c r="A20" s="1" t="s">
        <v>17</v>
      </c>
      <c r="B20" s="5">
        <f t="shared" si="3"/>
        <v>1.2130695108421707</v>
      </c>
      <c r="C20" s="5">
        <f t="shared" si="3"/>
        <v>1.1924772458052826</v>
      </c>
      <c r="D20" s="5">
        <f t="shared" si="3"/>
        <v>1.1786238714033941</v>
      </c>
      <c r="E20" s="5">
        <f t="shared" si="3"/>
        <v>1.1592370761111381</v>
      </c>
      <c r="F20" s="5">
        <f t="shared" si="3"/>
        <v>1.1447866241794258</v>
      </c>
      <c r="G20" s="5">
        <f t="shared" si="3"/>
        <v>1.1264426309427931</v>
      </c>
      <c r="H20" s="5">
        <f t="shared" si="3"/>
        <v>1.1084717228452108</v>
      </c>
      <c r="I20" s="5">
        <f t="shared" si="3"/>
        <v>1.0941791897884223</v>
      </c>
      <c r="J20" s="5">
        <f t="shared" si="3"/>
        <v>1.0753177229327462</v>
      </c>
      <c r="K20" s="5">
        <f t="shared" si="3"/>
        <v>1.0620975222650533</v>
      </c>
      <c r="L20" s="5">
        <f t="shared" si="3"/>
        <v>1.0428061207396901</v>
      </c>
    </row>
    <row r="21" spans="1:17" x14ac:dyDescent="0.2">
      <c r="A21" s="1" t="s">
        <v>18</v>
      </c>
      <c r="B21" s="5">
        <f t="shared" si="3"/>
        <v>1.2401727864401484</v>
      </c>
      <c r="C21" s="5">
        <f t="shared" si="3"/>
        <v>1.2135697704140715</v>
      </c>
      <c r="D21" s="5">
        <f t="shared" si="3"/>
        <v>1.1959705772670541</v>
      </c>
      <c r="E21" s="5">
        <f t="shared" si="3"/>
        <v>1.1715812819805302</v>
      </c>
      <c r="F21" s="5">
        <f t="shared" si="3"/>
        <v>1.1535235018527326</v>
      </c>
      <c r="G21" s="5">
        <f t="shared" si="3"/>
        <v>1.1305867142737447</v>
      </c>
      <c r="H21" s="5">
        <f t="shared" si="3"/>
        <v>1.1081295841019374</v>
      </c>
      <c r="I21" s="5">
        <f t="shared" si="3"/>
        <v>1.0899443517373451</v>
      </c>
      <c r="J21" s="5">
        <f t="shared" si="3"/>
        <v>1.065708291231116</v>
      </c>
      <c r="K21" s="5">
        <f t="shared" si="3"/>
        <v>1.0485658795337416</v>
      </c>
      <c r="L21" s="5">
        <f t="shared" si="3"/>
        <v>1.0232506185401204</v>
      </c>
    </row>
    <row r="22" spans="1:17" x14ac:dyDescent="0.2">
      <c r="A22" s="1" t="s">
        <v>19</v>
      </c>
      <c r="B22" s="5">
        <f t="shared" si="3"/>
        <v>1.2766785037004369</v>
      </c>
      <c r="C22" s="5">
        <f t="shared" si="3"/>
        <v>1.2424947721597963</v>
      </c>
      <c r="D22" s="5">
        <f t="shared" si="3"/>
        <v>1.2199117357851721</v>
      </c>
      <c r="E22" s="5">
        <f t="shared" si="3"/>
        <v>1.1889194251651916</v>
      </c>
      <c r="F22" s="5">
        <f t="shared" si="3"/>
        <v>1.1661013543456664</v>
      </c>
      <c r="G22" s="5">
        <f t="shared" si="3"/>
        <v>1.137051723174173</v>
      </c>
      <c r="H22" s="5">
        <f t="shared" si="3"/>
        <v>1.1088267986244305</v>
      </c>
      <c r="I22" s="5">
        <f t="shared" si="3"/>
        <v>1.0855485354495302</v>
      </c>
      <c r="J22" s="5">
        <f t="shared" si="3"/>
        <v>1.0543326648079585</v>
      </c>
      <c r="K22" s="5">
        <f t="shared" si="3"/>
        <v>1.0322390386769236</v>
      </c>
      <c r="L22" s="5">
        <f t="shared" si="3"/>
        <v>0.9996635074514828</v>
      </c>
    </row>
    <row r="23" spans="1:17" x14ac:dyDescent="0.2">
      <c r="A23" s="1" t="s">
        <v>20</v>
      </c>
      <c r="B23" s="5">
        <f t="shared" si="3"/>
        <v>1.3098259076958458</v>
      </c>
      <c r="C23" s="5">
        <f t="shared" si="3"/>
        <v>1.2690031564431654</v>
      </c>
      <c r="D23" s="5">
        <f t="shared" si="3"/>
        <v>1.2418996915032909</v>
      </c>
      <c r="E23" s="5">
        <f t="shared" si="3"/>
        <v>1.2049288755787368</v>
      </c>
      <c r="F23" s="5">
        <f t="shared" si="3"/>
        <v>1.1778767606200693</v>
      </c>
      <c r="G23" s="5">
        <f t="shared" si="3"/>
        <v>1.1434595870887483</v>
      </c>
      <c r="H23" s="5">
        <f t="shared" si="3"/>
        <v>1.1103932475638054</v>
      </c>
      <c r="I23" s="5">
        <f t="shared" si="3"/>
        <v>1.0827818930636708</v>
      </c>
      <c r="J23" s="5">
        <f t="shared" si="3"/>
        <v>1.0456230327893925</v>
      </c>
      <c r="K23" s="5">
        <f t="shared" si="3"/>
        <v>1.0192836576397495</v>
      </c>
      <c r="L23" s="5">
        <f t="shared" si="3"/>
        <v>0.98074648288372346</v>
      </c>
    </row>
    <row r="24" spans="1:17" x14ac:dyDescent="0.2">
      <c r="Q24" s="6"/>
    </row>
    <row r="25" spans="1:17" x14ac:dyDescent="0.2">
      <c r="A25" s="7" t="s">
        <v>28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Q25" s="6"/>
    </row>
    <row r="26" spans="1:17" x14ac:dyDescent="0.2">
      <c r="A26" s="1" t="s">
        <v>11</v>
      </c>
      <c r="B26" s="5">
        <f>_xludf.price($T$1,B14,$T2,$N2,B2/100,$P2,$O2,B$25)</f>
        <v>1.3776972698732015E-2</v>
      </c>
      <c r="C26" s="5">
        <f t="shared" ref="C26:L26" si="4">_xludf.price($T$1,C14,$T2,$N2,C2/100,$P2,$O2,C$25)</f>
        <v>1.201543085385115E-2</v>
      </c>
      <c r="D26" s="5">
        <f t="shared" si="4"/>
        <v>1.0260763547745855E-2</v>
      </c>
      <c r="E26" s="5">
        <f t="shared" si="4"/>
        <v>7.5844081215896697E-3</v>
      </c>
      <c r="F26" s="5">
        <f t="shared" si="4"/>
        <v>5.6737894349565554E-3</v>
      </c>
      <c r="G26" s="5">
        <f t="shared" si="4"/>
        <v>3.5822104929356113E-3</v>
      </c>
      <c r="H26" s="5">
        <f t="shared" si="4"/>
        <v>5.5748538103042033E-3</v>
      </c>
      <c r="I26" s="5">
        <f t="shared" si="4"/>
        <v>7.4072623631776802E-3</v>
      </c>
      <c r="J26" s="5">
        <f t="shared" si="4"/>
        <v>9.9491665679163344E-3</v>
      </c>
      <c r="K26" s="5">
        <f t="shared" si="4"/>
        <v>1.1598803402416036E-2</v>
      </c>
      <c r="L26" s="5">
        <f t="shared" si="4"/>
        <v>1.3200205360869299E-2</v>
      </c>
      <c r="Q26" s="6"/>
    </row>
    <row r="27" spans="1:17" x14ac:dyDescent="0.2">
      <c r="A27" s="1" t="s">
        <v>12</v>
      </c>
      <c r="B27" s="5">
        <f t="shared" ref="B27:L35" si="5">_xludf.price($T$1,B15,$T3,$N3,B3/100,$P3,$O3,B$25)</f>
        <v>2.2706463162275314E-2</v>
      </c>
      <c r="C27" s="5">
        <f t="shared" si="5"/>
        <v>1.8817774778240315E-2</v>
      </c>
      <c r="D27" s="5">
        <f t="shared" si="5"/>
        <v>1.5807639186460332E-2</v>
      </c>
      <c r="E27" s="5">
        <f t="shared" si="5"/>
        <v>1.1542176089257117E-2</v>
      </c>
      <c r="F27" s="5">
        <f t="shared" si="5"/>
        <v>8.5879242210101792E-3</v>
      </c>
      <c r="G27" s="5">
        <f t="shared" si="5"/>
        <v>5.3870143917289504E-3</v>
      </c>
      <c r="H27" s="5">
        <f t="shared" si="5"/>
        <v>8.4010244723603522E-3</v>
      </c>
      <c r="I27" s="5">
        <f t="shared" si="5"/>
        <v>1.1237757668249304E-2</v>
      </c>
      <c r="J27" s="5">
        <f t="shared" si="5"/>
        <v>1.5306818895935437E-2</v>
      </c>
      <c r="K27" s="5">
        <f t="shared" si="5"/>
        <v>1.8163393442121478E-2</v>
      </c>
      <c r="L27" s="5">
        <f t="shared" si="5"/>
        <v>2.1828617320253763E-2</v>
      </c>
    </row>
    <row r="28" spans="1:17" x14ac:dyDescent="0.2">
      <c r="A28" s="1" t="s">
        <v>13</v>
      </c>
      <c r="B28" s="5">
        <f t="shared" si="5"/>
        <v>3.5337240589893293E-2</v>
      </c>
      <c r="C28" s="5">
        <f t="shared" si="5"/>
        <v>2.8477814138267332E-2</v>
      </c>
      <c r="D28" s="5">
        <f t="shared" si="5"/>
        <v>2.3701782541394101E-2</v>
      </c>
      <c r="E28" s="5">
        <f t="shared" si="5"/>
        <v>1.7203165141199017E-2</v>
      </c>
      <c r="F28" s="5">
        <f t="shared" si="5"/>
        <v>1.2768478455684296E-2</v>
      </c>
      <c r="G28" s="5">
        <f t="shared" si="5"/>
        <v>7.9342625270716338E-3</v>
      </c>
      <c r="H28" s="5">
        <f t="shared" si="5"/>
        <v>1.235154845626818E-2</v>
      </c>
      <c r="I28" s="5">
        <f t="shared" si="5"/>
        <v>1.6515291414528011E-2</v>
      </c>
      <c r="J28" s="5">
        <f t="shared" si="5"/>
        <v>2.2512365609241858E-2</v>
      </c>
      <c r="K28" s="5">
        <f t="shared" si="5"/>
        <v>2.6879982352864595E-2</v>
      </c>
      <c r="L28" s="5">
        <f t="shared" si="5"/>
        <v>3.3029679370184972E-2</v>
      </c>
    </row>
    <row r="29" spans="1:17" x14ac:dyDescent="0.2">
      <c r="A29" s="1" t="s">
        <v>14</v>
      </c>
      <c r="B29" s="5">
        <f t="shared" si="5"/>
        <v>4.3839781007393164E-2</v>
      </c>
      <c r="C29" s="5">
        <f t="shared" si="5"/>
        <v>3.4919771459811288E-2</v>
      </c>
      <c r="D29" s="5">
        <f t="shared" si="5"/>
        <v>2.8908791812470525E-2</v>
      </c>
      <c r="E29" s="5">
        <f t="shared" si="5"/>
        <v>2.086493176881199E-2</v>
      </c>
      <c r="F29" s="5">
        <f t="shared" si="5"/>
        <v>1.545787441251012E-2</v>
      </c>
      <c r="G29" s="5">
        <f t="shared" si="5"/>
        <v>9.5687355806385321E-3</v>
      </c>
      <c r="H29" s="5">
        <f t="shared" si="5"/>
        <v>1.4902733989030637E-2</v>
      </c>
      <c r="I29" s="5">
        <f t="shared" si="5"/>
        <v>1.9962419006677057E-2</v>
      </c>
      <c r="J29" s="5">
        <f t="shared" si="5"/>
        <v>2.7381348346452894E-2</v>
      </c>
      <c r="K29" s="5">
        <f t="shared" si="5"/>
        <v>3.285072963034763E-2</v>
      </c>
      <c r="L29" s="5">
        <f t="shared" si="5"/>
        <v>4.0860774661908739E-2</v>
      </c>
    </row>
    <row r="30" spans="1:17" x14ac:dyDescent="0.2">
      <c r="A30" s="1" t="s">
        <v>15</v>
      </c>
      <c r="B30" s="5">
        <f t="shared" si="5"/>
        <v>6.0018271280274593E-2</v>
      </c>
      <c r="C30" s="5">
        <f t="shared" si="5"/>
        <v>4.7328844846079798E-2</v>
      </c>
      <c r="D30" s="5">
        <f t="shared" si="5"/>
        <v>3.900459324609018E-2</v>
      </c>
      <c r="E30" s="5">
        <f t="shared" si="5"/>
        <v>2.7996401848442432E-2</v>
      </c>
      <c r="F30" s="5">
        <f t="shared" si="5"/>
        <v>2.0697784913075945E-2</v>
      </c>
      <c r="G30" s="5">
        <f t="shared" si="5"/>
        <v>1.2725592422106136E-2</v>
      </c>
      <c r="H30" s="5">
        <f t="shared" si="5"/>
        <v>1.9878155055489732E-2</v>
      </c>
      <c r="I30" s="5">
        <f t="shared" si="5"/>
        <v>2.6764908992268244E-2</v>
      </c>
      <c r="J30" s="5">
        <f t="shared" si="5"/>
        <v>3.7023933119618158E-2</v>
      </c>
      <c r="K30" s="5">
        <f t="shared" si="5"/>
        <v>4.4696800788907809E-2</v>
      </c>
      <c r="L30" s="5">
        <f t="shared" si="5"/>
        <v>5.6239682865590446E-2</v>
      </c>
    </row>
    <row r="31" spans="1:17" x14ac:dyDescent="0.2">
      <c r="A31" s="1" t="s">
        <v>16</v>
      </c>
      <c r="B31" s="5">
        <f t="shared" si="5"/>
        <v>7.4700281079089992E-2</v>
      </c>
      <c r="C31" s="5">
        <f t="shared" si="5"/>
        <v>5.7680056048474038E-2</v>
      </c>
      <c r="D31" s="5">
        <f t="shared" si="5"/>
        <v>4.7948223713142557E-2</v>
      </c>
      <c r="E31" s="5">
        <f t="shared" si="5"/>
        <v>3.4036764881564596E-2</v>
      </c>
      <c r="F31" s="5">
        <f t="shared" si="5"/>
        <v>2.5307955381839942E-2</v>
      </c>
      <c r="G31" s="5">
        <f t="shared" si="5"/>
        <v>1.5483415718207327E-2</v>
      </c>
      <c r="H31" s="5">
        <f t="shared" si="5"/>
        <v>2.4218618243405987E-2</v>
      </c>
      <c r="I31" s="5">
        <f t="shared" si="5"/>
        <v>3.2948512556998821E-2</v>
      </c>
      <c r="J31" s="5">
        <f t="shared" si="5"/>
        <v>4.5566192413534323E-2</v>
      </c>
      <c r="K31" s="5">
        <f t="shared" si="5"/>
        <v>5.5954880165587473E-2</v>
      </c>
      <c r="L31" s="5">
        <f t="shared" si="5"/>
        <v>7.0092249757675584E-2</v>
      </c>
    </row>
    <row r="32" spans="1:17" x14ac:dyDescent="0.2">
      <c r="A32" s="1" t="s">
        <v>17</v>
      </c>
      <c r="B32" s="5">
        <f t="shared" si="5"/>
        <v>8.8179872723915143E-2</v>
      </c>
      <c r="C32" s="5">
        <f t="shared" si="5"/>
        <v>6.8939574614099941E-2</v>
      </c>
      <c r="D32" s="5">
        <f t="shared" si="5"/>
        <v>5.655226979770378E-2</v>
      </c>
      <c r="E32" s="5">
        <f t="shared" si="5"/>
        <v>4.0472824254571216E-2</v>
      </c>
      <c r="F32" s="5">
        <f t="shared" si="5"/>
        <v>2.9938394965412174E-2</v>
      </c>
      <c r="G32" s="5">
        <f t="shared" si="5"/>
        <v>1.8250073156384827E-2</v>
      </c>
      <c r="H32" s="5">
        <f t="shared" si="5"/>
        <v>2.8614603832178842E-2</v>
      </c>
      <c r="I32" s="5">
        <f t="shared" si="5"/>
        <v>3.8802495769856282E-2</v>
      </c>
      <c r="J32" s="5">
        <f t="shared" si="5"/>
        <v>5.4155637504608944E-2</v>
      </c>
      <c r="K32" s="5">
        <f t="shared" si="5"/>
        <v>6.5808829032284577E-2</v>
      </c>
      <c r="L32" s="5">
        <f t="shared" si="5"/>
        <v>8.3651065040551753E-2</v>
      </c>
    </row>
    <row r="33" spans="1:12" x14ac:dyDescent="0.2">
      <c r="A33" s="1" t="s">
        <v>18</v>
      </c>
      <c r="B33" s="5">
        <f>_xludf.price($T$1,B21,$T9,$N9,B9/100,$P9,$O9,B$25)</f>
        <v>0.11151178274014817</v>
      </c>
      <c r="C33" s="5">
        <f t="shared" ref="C33:L33" si="6">_xludf.price($T$1,C21,$T9,$N9,C9/100,$P9,$O9,C$25)</f>
        <v>8.6636433353646236E-2</v>
      </c>
      <c r="D33" s="5">
        <f t="shared" si="6"/>
        <v>7.0885142088793596E-2</v>
      </c>
      <c r="E33" s="5">
        <f t="shared" si="6"/>
        <v>5.0637866113885543E-2</v>
      </c>
      <c r="F33" s="5">
        <f t="shared" si="6"/>
        <v>3.7485742600355088E-2</v>
      </c>
      <c r="G33" s="5">
        <f t="shared" si="6"/>
        <v>2.274792056812347E-2</v>
      </c>
      <c r="H33" s="5">
        <f t="shared" si="6"/>
        <v>3.5743021872003289E-2</v>
      </c>
      <c r="I33" s="5">
        <f t="shared" si="6"/>
        <v>4.8734657604970866E-2</v>
      </c>
      <c r="J33" s="5">
        <f t="shared" si="6"/>
        <v>6.8479846187670335E-2</v>
      </c>
      <c r="K33" s="5">
        <f t="shared" si="6"/>
        <v>8.3586921298043015E-2</v>
      </c>
      <c r="L33" s="5">
        <f t="shared" si="6"/>
        <v>0.10698586324259496</v>
      </c>
    </row>
    <row r="34" spans="1:12" x14ac:dyDescent="0.2">
      <c r="A34" s="1" t="s">
        <v>19</v>
      </c>
      <c r="B34" s="5">
        <f t="shared" si="5"/>
        <v>0.14192377722328842</v>
      </c>
      <c r="C34" s="5">
        <f t="shared" si="5"/>
        <v>0.11000832364340885</v>
      </c>
      <c r="D34" s="5">
        <f t="shared" si="5"/>
        <v>8.9801614045704636E-2</v>
      </c>
      <c r="E34" s="5">
        <f t="shared" si="5"/>
        <v>6.4085922786994431E-2</v>
      </c>
      <c r="F34" s="5">
        <f t="shared" si="5"/>
        <v>4.7510420612599691E-2</v>
      </c>
      <c r="G34" s="5">
        <f t="shared" si="5"/>
        <v>2.8619956760059129E-2</v>
      </c>
      <c r="H34" s="5">
        <f t="shared" si="5"/>
        <v>4.4949326111713761E-2</v>
      </c>
      <c r="I34" s="5">
        <f t="shared" si="5"/>
        <v>6.1528977221734227E-2</v>
      </c>
      <c r="J34" s="5">
        <f t="shared" si="5"/>
        <v>8.6888521085117687E-2</v>
      </c>
      <c r="K34" s="5">
        <f t="shared" si="5"/>
        <v>0.10628154683206525</v>
      </c>
      <c r="L34" s="5">
        <f t="shared" si="5"/>
        <v>0.1362641441181649</v>
      </c>
    </row>
    <row r="35" spans="1:12" x14ac:dyDescent="0.2">
      <c r="A35" s="1" t="s">
        <v>20</v>
      </c>
      <c r="B35" s="5">
        <f t="shared" si="5"/>
        <v>0.16882550358558013</v>
      </c>
      <c r="C35" s="5">
        <f t="shared" si="5"/>
        <v>0.13080162586980526</v>
      </c>
      <c r="D35" s="5">
        <f t="shared" si="5"/>
        <v>0.1065721835181197</v>
      </c>
      <c r="E35" s="5">
        <f t="shared" si="5"/>
        <v>7.5903744417763819E-2</v>
      </c>
      <c r="F35" s="5">
        <f t="shared" si="5"/>
        <v>5.6273546665596585E-2</v>
      </c>
      <c r="G35" s="5">
        <f t="shared" si="5"/>
        <v>3.3615839747588638E-2</v>
      </c>
      <c r="H35" s="5">
        <f t="shared" si="5"/>
        <v>5.2675943496831801E-2</v>
      </c>
      <c r="I35" s="5">
        <f t="shared" si="5"/>
        <v>7.222363969436929E-2</v>
      </c>
      <c r="J35" s="5">
        <f t="shared" si="5"/>
        <v>0.10228529212783199</v>
      </c>
      <c r="K35" s="5">
        <f t="shared" si="5"/>
        <v>0.12530764214950463</v>
      </c>
      <c r="L35" s="5">
        <f t="shared" si="5"/>
        <v>0.1606025290062929</v>
      </c>
    </row>
    <row r="37" spans="1:12" x14ac:dyDescent="0.2">
      <c r="A37" s="7" t="s">
        <v>35</v>
      </c>
    </row>
    <row r="38" spans="1:12" x14ac:dyDescent="0.2">
      <c r="A38" s="1" t="s">
        <v>11</v>
      </c>
      <c r="B38" s="4">
        <f>opt_delta($T$1,B14,$T2,$N2,B2/100,$P2,$O2,B$25)</f>
        <v>-0.95013725930285475</v>
      </c>
      <c r="C38" s="4">
        <f t="shared" ref="C38:L38" si="7">opt_delta($T$1,C14,$T2,$N2,C2/100,$P2,$O2,C$25)</f>
        <v>-0.90012200697699196</v>
      </c>
      <c r="D38" s="4">
        <f t="shared" si="7"/>
        <v>-0.8501067546511325</v>
      </c>
      <c r="E38" s="4">
        <f t="shared" si="7"/>
        <v>-0.75007624999941169</v>
      </c>
      <c r="F38" s="4">
        <f t="shared" si="7"/>
        <v>-0.65004574534768234</v>
      </c>
      <c r="G38" s="4">
        <f t="shared" si="7"/>
        <v>0.50015252325861492</v>
      </c>
      <c r="H38" s="4">
        <f t="shared" si="7"/>
        <v>0.65004574534768644</v>
      </c>
      <c r="I38" s="4">
        <f t="shared" si="7"/>
        <v>0.75007624999941025</v>
      </c>
      <c r="J38" s="4">
        <f t="shared" si="7"/>
        <v>0.8501067546511335</v>
      </c>
      <c r="K38" s="4">
        <f t="shared" si="7"/>
        <v>0.90012200697698985</v>
      </c>
      <c r="L38" s="4">
        <f t="shared" si="7"/>
        <v>0.95013725930285509</v>
      </c>
    </row>
    <row r="39" spans="1:12" x14ac:dyDescent="0.2">
      <c r="A39" s="1" t="s">
        <v>12</v>
      </c>
      <c r="B39" s="4">
        <f t="shared" ref="B39:L47" si="8">opt_delta($T$1,B15,$T3,$N3,B3/100,$P3,$O3,B$25)</f>
        <v>-0.9503493294780927</v>
      </c>
      <c r="C39" s="4">
        <f t="shared" si="8"/>
        <v>-0.90031050672151902</v>
      </c>
      <c r="D39" s="4">
        <f t="shared" si="8"/>
        <v>-0.8502716839649419</v>
      </c>
      <c r="E39" s="4">
        <f t="shared" si="8"/>
        <v>-0.75019403845179455</v>
      </c>
      <c r="F39" s="4">
        <f t="shared" si="8"/>
        <v>-0.65011639293864443</v>
      </c>
      <c r="G39" s="4">
        <f t="shared" si="8"/>
        <v>0.50038822756574841</v>
      </c>
      <c r="H39" s="4">
        <f t="shared" si="8"/>
        <v>0.6501163929386482</v>
      </c>
      <c r="I39" s="4">
        <f t="shared" si="8"/>
        <v>0.75019403845179355</v>
      </c>
      <c r="J39" s="4">
        <f t="shared" si="8"/>
        <v>0.85027168396494068</v>
      </c>
      <c r="K39" s="4">
        <f t="shared" si="8"/>
        <v>0.9003105067215208</v>
      </c>
      <c r="L39" s="4">
        <f t="shared" si="8"/>
        <v>0.95034932947809381</v>
      </c>
    </row>
    <row r="40" spans="1:12" x14ac:dyDescent="0.2">
      <c r="A40" s="1" t="s">
        <v>13</v>
      </c>
      <c r="B40" s="4">
        <f t="shared" si="8"/>
        <v>-0.95046845448799888</v>
      </c>
      <c r="C40" s="4">
        <f t="shared" si="8"/>
        <v>-0.90041638893704623</v>
      </c>
      <c r="D40" s="4">
        <f t="shared" si="8"/>
        <v>-0.85036432338609913</v>
      </c>
      <c r="E40" s="4">
        <f t="shared" si="8"/>
        <v>-0.75026019228419538</v>
      </c>
      <c r="F40" s="4">
        <f t="shared" si="8"/>
        <v>-0.65015606118229397</v>
      </c>
      <c r="G40" s="4">
        <f t="shared" si="8"/>
        <v>0.50052065550950331</v>
      </c>
      <c r="H40" s="4">
        <f t="shared" si="8"/>
        <v>0.65015606118229796</v>
      </c>
      <c r="I40" s="4">
        <f t="shared" si="8"/>
        <v>0.7502601922841946</v>
      </c>
      <c r="J40" s="4">
        <f t="shared" si="8"/>
        <v>0.85036432338609669</v>
      </c>
      <c r="K40" s="4">
        <f t="shared" si="8"/>
        <v>0.90041638893704756</v>
      </c>
      <c r="L40" s="4">
        <f t="shared" si="8"/>
        <v>0.9504684544879981</v>
      </c>
    </row>
    <row r="41" spans="1:12" x14ac:dyDescent="0.2">
      <c r="A41" s="1" t="s">
        <v>14</v>
      </c>
      <c r="B41" s="4">
        <f t="shared" si="8"/>
        <v>-0.95062119047285287</v>
      </c>
      <c r="C41" s="4">
        <f t="shared" si="8"/>
        <v>-0.90055214284094542</v>
      </c>
      <c r="D41" s="4">
        <f t="shared" si="8"/>
        <v>-0.85048309520903764</v>
      </c>
      <c r="E41" s="4">
        <f t="shared" si="8"/>
        <v>-0.75034499994522075</v>
      </c>
      <c r="F41" s="4">
        <f t="shared" si="8"/>
        <v>-0.65020690468140219</v>
      </c>
      <c r="G41" s="4">
        <f t="shared" si="8"/>
        <v>0.50069047631907859</v>
      </c>
      <c r="H41" s="4">
        <f t="shared" si="8"/>
        <v>0.65020690468140385</v>
      </c>
      <c r="I41" s="4">
        <f t="shared" si="8"/>
        <v>0.75034499994522208</v>
      </c>
      <c r="J41" s="4">
        <f t="shared" si="8"/>
        <v>0.85048309520903831</v>
      </c>
      <c r="K41" s="4">
        <f t="shared" si="8"/>
        <v>0.90055214284094331</v>
      </c>
      <c r="L41" s="4">
        <f t="shared" si="8"/>
        <v>0.95062119047285254</v>
      </c>
    </row>
    <row r="42" spans="1:12" x14ac:dyDescent="0.2">
      <c r="A42" s="1" t="s">
        <v>15</v>
      </c>
      <c r="B42" s="4">
        <f t="shared" si="8"/>
        <v>-0.95130433937162684</v>
      </c>
      <c r="C42" s="4">
        <f t="shared" si="8"/>
        <v>-0.9011592960686603</v>
      </c>
      <c r="D42" s="4">
        <f t="shared" si="8"/>
        <v>-0.85101425276569409</v>
      </c>
      <c r="E42" s="4">
        <f t="shared" si="8"/>
        <v>-0.75072416615976323</v>
      </c>
      <c r="F42" s="4">
        <f t="shared" si="8"/>
        <v>-0.65043407955383081</v>
      </c>
      <c r="G42" s="4">
        <f t="shared" si="8"/>
        <v>0.50145043302966241</v>
      </c>
      <c r="H42" s="4">
        <f t="shared" si="8"/>
        <v>0.65043407955382893</v>
      </c>
      <c r="I42" s="4">
        <f t="shared" si="8"/>
        <v>0.7507241661597619</v>
      </c>
      <c r="J42" s="4">
        <f t="shared" si="8"/>
        <v>0.8510142527656942</v>
      </c>
      <c r="K42" s="4">
        <f t="shared" si="8"/>
        <v>0.90115929606866008</v>
      </c>
      <c r="L42" s="4">
        <f t="shared" si="8"/>
        <v>0.95130433937162684</v>
      </c>
    </row>
    <row r="43" spans="1:12" x14ac:dyDescent="0.2">
      <c r="A43" s="1" t="s">
        <v>16</v>
      </c>
      <c r="B43" s="4">
        <f t="shared" si="8"/>
        <v>-0.95183991957473657</v>
      </c>
      <c r="C43" s="4">
        <f t="shared" si="8"/>
        <v>-0.90163525182547011</v>
      </c>
      <c r="D43" s="4">
        <f t="shared" si="8"/>
        <v>-0.85143058407620131</v>
      </c>
      <c r="E43" s="4">
        <f t="shared" si="8"/>
        <v>-0.75102124857766828</v>
      </c>
      <c r="F43" s="4">
        <f t="shared" si="8"/>
        <v>-0.65061191307913713</v>
      </c>
      <c r="G43" s="4">
        <f t="shared" si="8"/>
        <v>0.50204667749266541</v>
      </c>
      <c r="H43" s="4">
        <f t="shared" si="8"/>
        <v>0.65061191307913768</v>
      </c>
      <c r="I43" s="4">
        <f t="shared" si="8"/>
        <v>0.75102124857766939</v>
      </c>
      <c r="J43" s="4">
        <f t="shared" si="8"/>
        <v>0.85143058407620176</v>
      </c>
      <c r="K43" s="4">
        <f t="shared" si="8"/>
        <v>0.90163525182546989</v>
      </c>
      <c r="L43" s="4">
        <f t="shared" si="8"/>
        <v>0.95183991957473613</v>
      </c>
    </row>
    <row r="44" spans="1:12" x14ac:dyDescent="0.2">
      <c r="A44" s="1" t="s">
        <v>17</v>
      </c>
      <c r="B44" s="4">
        <f t="shared" si="8"/>
        <v>-0.95237878968037837</v>
      </c>
      <c r="C44" s="4">
        <f t="shared" si="8"/>
        <v>-0.90211409149210764</v>
      </c>
      <c r="D44" s="4">
        <f t="shared" si="8"/>
        <v>-0.85184939330383713</v>
      </c>
      <c r="E44" s="4">
        <f t="shared" si="8"/>
        <v>-0.75131999692729712</v>
      </c>
      <c r="F44" s="4">
        <f t="shared" si="8"/>
        <v>-0.65079060055075644</v>
      </c>
      <c r="G44" s="4">
        <f t="shared" si="8"/>
        <v>0.50264698188270618</v>
      </c>
      <c r="H44" s="4">
        <f t="shared" si="8"/>
        <v>0.65079060055075455</v>
      </c>
      <c r="I44" s="4">
        <f t="shared" si="8"/>
        <v>0.75131999692729612</v>
      </c>
      <c r="J44" s="4">
        <f t="shared" si="8"/>
        <v>0.85184939330383647</v>
      </c>
      <c r="K44" s="4">
        <f t="shared" si="8"/>
        <v>0.90211409149210786</v>
      </c>
      <c r="L44" s="4">
        <f t="shared" si="8"/>
        <v>0.95237878968037859</v>
      </c>
    </row>
    <row r="45" spans="1:12" x14ac:dyDescent="0.2">
      <c r="A45" s="1" t="s">
        <v>18</v>
      </c>
      <c r="B45" s="4">
        <f t="shared" si="8"/>
        <v>-0.95356124716501134</v>
      </c>
      <c r="C45" s="4">
        <f t="shared" si="8"/>
        <v>-0.90316468279822559</v>
      </c>
      <c r="D45" s="4">
        <f t="shared" si="8"/>
        <v>-0.85276811843143996</v>
      </c>
      <c r="E45" s="4">
        <f t="shared" si="8"/>
        <v>-0.75197498969786769</v>
      </c>
      <c r="F45" s="4">
        <f t="shared" si="8"/>
        <v>-0.65118186096429598</v>
      </c>
      <c r="G45" s="4">
        <f t="shared" si="8"/>
        <v>0.50396564366785634</v>
      </c>
      <c r="H45" s="4">
        <f t="shared" si="8"/>
        <v>0.65118186096429664</v>
      </c>
      <c r="I45" s="4">
        <f t="shared" si="8"/>
        <v>0.75197498969786858</v>
      </c>
      <c r="J45" s="4">
        <f t="shared" si="8"/>
        <v>0.85276811843144029</v>
      </c>
      <c r="K45" s="4">
        <f t="shared" si="8"/>
        <v>0.90316468279822582</v>
      </c>
      <c r="L45" s="4">
        <f t="shared" si="8"/>
        <v>0.95356124716501134</v>
      </c>
    </row>
    <row r="46" spans="1:12" x14ac:dyDescent="0.2">
      <c r="A46" s="1" t="s">
        <v>19</v>
      </c>
      <c r="B46" s="4">
        <f t="shared" si="8"/>
        <v>-0.95539406357101053</v>
      </c>
      <c r="C46" s="4">
        <f t="shared" si="8"/>
        <v>-0.9047927262391211</v>
      </c>
      <c r="D46" s="4">
        <f t="shared" si="8"/>
        <v>-0.85419138890723112</v>
      </c>
      <c r="E46" s="4">
        <f t="shared" si="8"/>
        <v>-0.75298871424345326</v>
      </c>
      <c r="F46" s="4">
        <f t="shared" si="8"/>
        <v>-0.65178603957967451</v>
      </c>
      <c r="G46" s="4">
        <f t="shared" si="8"/>
        <v>0.50601337331889285</v>
      </c>
      <c r="H46" s="4">
        <f t="shared" si="8"/>
        <v>0.65178603957967507</v>
      </c>
      <c r="I46" s="4">
        <f t="shared" si="8"/>
        <v>0.75298871424345382</v>
      </c>
      <c r="J46" s="4">
        <f t="shared" si="8"/>
        <v>0.85419138890723134</v>
      </c>
      <c r="K46" s="4">
        <f t="shared" si="8"/>
        <v>0.90479272623912121</v>
      </c>
      <c r="L46" s="4">
        <f t="shared" si="8"/>
        <v>0.95539406357101053</v>
      </c>
    </row>
    <row r="47" spans="1:12" x14ac:dyDescent="0.2">
      <c r="A47" s="1" t="s">
        <v>20</v>
      </c>
      <c r="B47" s="4">
        <f t="shared" si="8"/>
        <v>-0.95702625848148259</v>
      </c>
      <c r="C47" s="4">
        <f t="shared" si="8"/>
        <v>-0.90624217412491503</v>
      </c>
      <c r="D47" s="4">
        <f t="shared" si="8"/>
        <v>-0.85545808976834803</v>
      </c>
      <c r="E47" s="4">
        <f t="shared" si="8"/>
        <v>-0.75388992105521224</v>
      </c>
      <c r="F47" s="4">
        <f t="shared" si="8"/>
        <v>-0.6523217523420779</v>
      </c>
      <c r="G47" s="4">
        <f t="shared" si="8"/>
        <v>0.5078408435656746</v>
      </c>
      <c r="H47" s="4">
        <f t="shared" si="8"/>
        <v>0.65232175234207901</v>
      </c>
      <c r="I47" s="4">
        <f t="shared" si="8"/>
        <v>0.75388992105521324</v>
      </c>
      <c r="J47" s="4">
        <f t="shared" si="8"/>
        <v>0.8554580897683477</v>
      </c>
      <c r="K47" s="4">
        <f t="shared" si="8"/>
        <v>0.90624217412491548</v>
      </c>
      <c r="L47" s="4">
        <f t="shared" si="8"/>
        <v>0.95702625848148271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abSelected="1" workbookViewId="0">
      <selection activeCell="E17" sqref="A1:F111"/>
    </sheetView>
  </sheetViews>
  <sheetFormatPr baseColWidth="10" defaultRowHeight="13" x14ac:dyDescent="0.15"/>
  <sheetData>
    <row r="1" spans="1:6" ht="16" x14ac:dyDescent="0.2">
      <c r="A1" s="1" t="s">
        <v>30</v>
      </c>
      <c r="B1" s="1" t="s">
        <v>31</v>
      </c>
      <c r="C1" s="1" t="s">
        <v>29</v>
      </c>
      <c r="D1" s="1" t="s">
        <v>32</v>
      </c>
      <c r="E1" s="1" t="s">
        <v>33</v>
      </c>
      <c r="F1" s="1" t="s">
        <v>34</v>
      </c>
    </row>
    <row r="2" spans="1:6" x14ac:dyDescent="0.15">
      <c r="A2" s="17">
        <f>Feuil1!B26</f>
        <v>1.3776972698732015E-2</v>
      </c>
      <c r="B2" s="17">
        <f>Feuil1!B14</f>
        <v>1.1326536914993239</v>
      </c>
      <c r="C2" s="17">
        <v>1.9230769230769232E-2</v>
      </c>
      <c r="D2" s="17">
        <f>Feuil1!$P2</f>
        <v>8.1300000000000001E-3</v>
      </c>
      <c r="E2" s="17">
        <f>Feuil1!$O2</f>
        <v>-7.9299999999999995E-3</v>
      </c>
      <c r="F2" s="17">
        <f>Feuil1!$B$25</f>
        <v>-1</v>
      </c>
    </row>
    <row r="3" spans="1:6" x14ac:dyDescent="0.15">
      <c r="A3" s="17">
        <f>Feuil1!B27</f>
        <v>2.2706463162275314E-2</v>
      </c>
      <c r="B3" s="17">
        <f>Feuil1!B15</f>
        <v>1.141828190911792</v>
      </c>
      <c r="C3" s="17">
        <v>3.8461538461538464E-2</v>
      </c>
      <c r="D3" s="17">
        <f>Feuil1!$P3</f>
        <v>6.0899999999999999E-3</v>
      </c>
      <c r="E3" s="17">
        <f>Feuil1!$O3</f>
        <v>-1.009E-2</v>
      </c>
      <c r="F3" s="17">
        <f>Feuil1!$B$25</f>
        <v>-1</v>
      </c>
    </row>
    <row r="4" spans="1:6" x14ac:dyDescent="0.15">
      <c r="A4" s="17">
        <f>Feuil1!B28</f>
        <v>3.5337240589893293E-2</v>
      </c>
      <c r="B4" s="17">
        <f>Feuil1!B16</f>
        <v>1.1546702635201525</v>
      </c>
      <c r="C4" s="17">
        <v>5.7692307692307696E-2</v>
      </c>
      <c r="D4" s="17">
        <f>Feuil1!$P4</f>
        <v>7.2399999999999999E-3</v>
      </c>
      <c r="E4" s="17">
        <f>Feuil1!$O4</f>
        <v>-9.0200000000000002E-3</v>
      </c>
      <c r="F4" s="17">
        <f>Feuil1!$B$25</f>
        <v>-1</v>
      </c>
    </row>
    <row r="5" spans="1:6" x14ac:dyDescent="0.15">
      <c r="A5" s="17">
        <f>Feuil1!B29</f>
        <v>4.3839781007393164E-2</v>
      </c>
      <c r="B5" s="17">
        <f>Feuil1!B17</f>
        <v>1.1636165233951226</v>
      </c>
      <c r="C5" s="17">
        <v>8.3333333333333329E-2</v>
      </c>
      <c r="D5" s="17">
        <f>Feuil1!$P5</f>
        <v>8.6300000000000005E-3</v>
      </c>
      <c r="E5" s="17">
        <f>Feuil1!$O5</f>
        <v>-8.2799999999999992E-3</v>
      </c>
      <c r="F5" s="17">
        <f>Feuil1!$B$25</f>
        <v>-1</v>
      </c>
    </row>
    <row r="6" spans="1:6" x14ac:dyDescent="0.15">
      <c r="A6" s="17">
        <f>Feuil1!B30</f>
        <v>6.0018271280274593E-2</v>
      </c>
      <c r="B6" s="17">
        <f>Feuil1!B18</f>
        <v>1.1815792633506943</v>
      </c>
      <c r="C6" s="17">
        <v>0.16666666666666666</v>
      </c>
      <c r="D6" s="17">
        <f>Feuil1!$P6</f>
        <v>9.9600000000000001E-3</v>
      </c>
      <c r="E6" s="17">
        <f>Feuil1!$O6</f>
        <v>-8.6899999999999998E-3</v>
      </c>
      <c r="F6" s="17">
        <f>Feuil1!$B$25</f>
        <v>-1</v>
      </c>
    </row>
    <row r="7" spans="1:6" x14ac:dyDescent="0.15">
      <c r="A7" s="17">
        <f>Feuil1!B31</f>
        <v>7.4700281079089992E-2</v>
      </c>
      <c r="B7" s="17">
        <f>Feuil1!B19</f>
        <v>1.1979046452775102</v>
      </c>
      <c r="C7" s="17">
        <v>0.25</v>
      </c>
      <c r="D7" s="17">
        <f>Feuil1!$P7</f>
        <v>1.038E-2</v>
      </c>
      <c r="E7" s="17">
        <f>Feuil1!$O7</f>
        <v>-8.1700000000000002E-3</v>
      </c>
      <c r="F7" s="17">
        <f>Feuil1!$B$25</f>
        <v>-1</v>
      </c>
    </row>
    <row r="8" spans="1:6" x14ac:dyDescent="0.15">
      <c r="A8" s="17">
        <f>Feuil1!B32</f>
        <v>8.8179872723915143E-2</v>
      </c>
      <c r="B8" s="17">
        <f>Feuil1!B20</f>
        <v>1.2130695108421707</v>
      </c>
      <c r="C8" s="17">
        <v>0.33333333333333331</v>
      </c>
      <c r="D8" s="17">
        <f>Feuil1!$P8</f>
        <v>1.0580000000000001E-2</v>
      </c>
      <c r="E8" s="17">
        <f>Feuil1!$O8</f>
        <v>-7.92E-3</v>
      </c>
      <c r="F8" s="17">
        <f>Feuil1!$B$25</f>
        <v>-1</v>
      </c>
    </row>
    <row r="9" spans="1:6" x14ac:dyDescent="0.15">
      <c r="A9" s="17">
        <f>Feuil1!B33</f>
        <v>0.11151178274014817</v>
      </c>
      <c r="B9" s="17">
        <f>Feuil1!B21</f>
        <v>1.2401727864401484</v>
      </c>
      <c r="C9" s="17">
        <v>0.5</v>
      </c>
      <c r="D9" s="17">
        <f>Feuil1!$P9</f>
        <v>1.1039999999999999E-2</v>
      </c>
      <c r="E9" s="17">
        <f>Feuil1!$O9</f>
        <v>-7.9000000000000008E-3</v>
      </c>
      <c r="F9" s="17">
        <f>Feuil1!$B$25</f>
        <v>-1</v>
      </c>
    </row>
    <row r="10" spans="1:6" x14ac:dyDescent="0.15">
      <c r="A10" s="17">
        <f>Feuil1!B34</f>
        <v>0.14192377722328842</v>
      </c>
      <c r="B10" s="17">
        <f>Feuil1!B22</f>
        <v>1.2766785037004369</v>
      </c>
      <c r="C10" s="17">
        <v>0.75</v>
      </c>
      <c r="D10" s="17">
        <f>Feuil1!$P10</f>
        <v>1.15E-2</v>
      </c>
      <c r="E10" s="17">
        <f>Feuil1!$O10</f>
        <v>-7.9699999999999997E-3</v>
      </c>
      <c r="F10" s="17">
        <f>Feuil1!$B$25</f>
        <v>-1</v>
      </c>
    </row>
    <row r="11" spans="1:6" x14ac:dyDescent="0.15">
      <c r="A11" s="17">
        <f>Feuil1!B35</f>
        <v>0.16882550358558013</v>
      </c>
      <c r="B11" s="17">
        <f>Feuil1!B23</f>
        <v>1.3098259076958458</v>
      </c>
      <c r="C11" s="17">
        <v>1</v>
      </c>
      <c r="D11" s="17">
        <f>Feuil1!$P11</f>
        <v>1.187E-2</v>
      </c>
      <c r="E11" s="17">
        <f>Feuil1!$O11</f>
        <v>-7.7799999999999996E-3</v>
      </c>
      <c r="F11" s="17">
        <f>Feuil1!$B$25</f>
        <v>-1</v>
      </c>
    </row>
    <row r="12" spans="1:6" x14ac:dyDescent="0.15">
      <c r="A12" s="17">
        <f>Feuil1!C26</f>
        <v>1.201543085385115E-2</v>
      </c>
      <c r="B12" s="17">
        <f>Feuil1!C14</f>
        <v>1.1306394047686872</v>
      </c>
      <c r="C12" s="17">
        <v>1.9230769230769232E-2</v>
      </c>
      <c r="D12" s="17">
        <f>Feuil1!$P2</f>
        <v>8.1300000000000001E-3</v>
      </c>
      <c r="E12" s="17">
        <f>Feuil1!$O2</f>
        <v>-7.9299999999999995E-3</v>
      </c>
      <c r="F12" s="17">
        <f>Feuil1!$C$25</f>
        <v>-1</v>
      </c>
    </row>
    <row r="13" spans="1:6" x14ac:dyDescent="0.15">
      <c r="A13" s="17">
        <f>Feuil1!C27</f>
        <v>1.8817774778240315E-2</v>
      </c>
      <c r="B13" s="17">
        <f>Feuil1!C15</f>
        <v>1.137559220357915</v>
      </c>
      <c r="C13" s="17">
        <v>3.8461538461538464E-2</v>
      </c>
      <c r="D13" s="17">
        <f>Feuil1!$P3</f>
        <v>6.0899999999999999E-3</v>
      </c>
      <c r="E13" s="17">
        <f>Feuil1!$O3</f>
        <v>-1.009E-2</v>
      </c>
      <c r="F13" s="17">
        <f>Feuil1!$C$25</f>
        <v>-1</v>
      </c>
    </row>
    <row r="14" spans="1:6" x14ac:dyDescent="0.15">
      <c r="A14" s="17">
        <f>Feuil1!C28</f>
        <v>2.8477814138267332E-2</v>
      </c>
      <c r="B14" s="17">
        <f>Feuil1!C16</f>
        <v>1.1472501747744437</v>
      </c>
      <c r="C14" s="17">
        <v>5.7692307692307696E-2</v>
      </c>
      <c r="D14" s="17">
        <f>Feuil1!$P4</f>
        <v>7.2399999999999999E-3</v>
      </c>
      <c r="E14" s="17">
        <f>Feuil1!$O4</f>
        <v>-9.0200000000000002E-3</v>
      </c>
      <c r="F14" s="17">
        <f>Feuil1!$C$25</f>
        <v>-1</v>
      </c>
    </row>
    <row r="15" spans="1:6" x14ac:dyDescent="0.15">
      <c r="A15" s="17">
        <f>Feuil1!C29</f>
        <v>3.4919771459811288E-2</v>
      </c>
      <c r="B15" s="17">
        <f>Feuil1!C17</f>
        <v>1.1540155236071497</v>
      </c>
      <c r="C15" s="17">
        <v>8.3333333333333329E-2</v>
      </c>
      <c r="D15" s="17">
        <f>Feuil1!$P5</f>
        <v>8.6300000000000005E-3</v>
      </c>
      <c r="E15" s="17">
        <f>Feuil1!$O5</f>
        <v>-8.2799999999999992E-3</v>
      </c>
      <c r="F15" s="17">
        <f>Feuil1!$C$25</f>
        <v>-1</v>
      </c>
    </row>
    <row r="16" spans="1:6" x14ac:dyDescent="0.15">
      <c r="A16" s="17">
        <f>Feuil1!C30</f>
        <v>4.7328844846079798E-2</v>
      </c>
      <c r="B16" s="17">
        <f>Feuil1!C18</f>
        <v>1.1679689563653561</v>
      </c>
      <c r="C16" s="17">
        <v>0.16666666666666666</v>
      </c>
      <c r="D16" s="17">
        <f>Feuil1!$P6</f>
        <v>9.9600000000000001E-3</v>
      </c>
      <c r="E16" s="17">
        <f>Feuil1!$O6</f>
        <v>-8.6899999999999998E-3</v>
      </c>
      <c r="F16" s="17">
        <f>Feuil1!$C$25</f>
        <v>-1</v>
      </c>
    </row>
    <row r="17" spans="1:6" x14ac:dyDescent="0.15">
      <c r="A17" s="17">
        <f>Feuil1!C31</f>
        <v>5.7680056048474038E-2</v>
      </c>
      <c r="B17" s="17">
        <f>Feuil1!C19</f>
        <v>1.1797684488510292</v>
      </c>
      <c r="C17" s="17">
        <v>0.25</v>
      </c>
      <c r="D17" s="17">
        <f>Feuil1!$P7</f>
        <v>1.038E-2</v>
      </c>
      <c r="E17" s="17">
        <f>Feuil1!$O7</f>
        <v>-8.1700000000000002E-3</v>
      </c>
      <c r="F17" s="17">
        <f>Feuil1!$C$25</f>
        <v>-1</v>
      </c>
    </row>
    <row r="18" spans="1:6" x14ac:dyDescent="0.15">
      <c r="A18" s="17">
        <f>Feuil1!C32</f>
        <v>6.8939574614099941E-2</v>
      </c>
      <c r="B18" s="17">
        <f>Feuil1!C20</f>
        <v>1.1924772458052826</v>
      </c>
      <c r="C18" s="17">
        <v>0.33333333333333331</v>
      </c>
      <c r="D18" s="17">
        <f>Feuil1!$P8</f>
        <v>1.0580000000000001E-2</v>
      </c>
      <c r="E18" s="17">
        <f>Feuil1!$O8</f>
        <v>-7.92E-3</v>
      </c>
      <c r="F18" s="17">
        <f>Feuil1!$C$25</f>
        <v>-1</v>
      </c>
    </row>
    <row r="19" spans="1:6" x14ac:dyDescent="0.15">
      <c r="A19" s="17">
        <f>Feuil1!C33</f>
        <v>8.6636433353646236E-2</v>
      </c>
      <c r="B19" s="17">
        <f>Feuil1!C21</f>
        <v>1.2135697704140715</v>
      </c>
      <c r="C19" s="17">
        <v>0.5</v>
      </c>
      <c r="D19" s="17">
        <f>Feuil1!$P9</f>
        <v>1.1039999999999999E-2</v>
      </c>
      <c r="E19" s="17">
        <f>Feuil1!$O9</f>
        <v>-7.9000000000000008E-3</v>
      </c>
      <c r="F19" s="17">
        <f>Feuil1!$C$25</f>
        <v>-1</v>
      </c>
    </row>
    <row r="20" spans="1:6" x14ac:dyDescent="0.15">
      <c r="A20" s="17">
        <f>Feuil1!C34</f>
        <v>0.11000832364340885</v>
      </c>
      <c r="B20" s="17">
        <f>Feuil1!C22</f>
        <v>1.2424947721597963</v>
      </c>
      <c r="C20" s="17">
        <v>0.75</v>
      </c>
      <c r="D20" s="17">
        <f>Feuil1!$P10</f>
        <v>1.15E-2</v>
      </c>
      <c r="E20" s="17">
        <f>Feuil1!$O10</f>
        <v>-7.9699999999999997E-3</v>
      </c>
      <c r="F20" s="17">
        <f>Feuil1!$C$25</f>
        <v>-1</v>
      </c>
    </row>
    <row r="21" spans="1:6" x14ac:dyDescent="0.15">
      <c r="A21" s="17">
        <f>Feuil1!C35</f>
        <v>0.13080162586980526</v>
      </c>
      <c r="B21" s="17">
        <f>Feuil1!C23</f>
        <v>1.2690031564431654</v>
      </c>
      <c r="C21" s="17">
        <v>1</v>
      </c>
      <c r="D21" s="17">
        <f>Feuil1!$P11</f>
        <v>1.187E-2</v>
      </c>
      <c r="E21" s="17">
        <f>Feuil1!$O11</f>
        <v>-7.7799999999999996E-3</v>
      </c>
      <c r="F21" s="17">
        <f>Feuil1!$C$25</f>
        <v>-1</v>
      </c>
    </row>
    <row r="22" spans="1:6" x14ac:dyDescent="0.15">
      <c r="A22" s="17">
        <f>Feuil1!D26</f>
        <v>1.0260763547745855E-2</v>
      </c>
      <c r="B22" s="17">
        <f>Feuil1!D14</f>
        <v>1.1285999333331183</v>
      </c>
      <c r="C22" s="17">
        <v>1.9230769230769232E-2</v>
      </c>
      <c r="D22" s="17">
        <f>Feuil1!$P2</f>
        <v>8.1300000000000001E-3</v>
      </c>
      <c r="E22" s="17">
        <f>Feuil1!$O2</f>
        <v>-7.9299999999999995E-3</v>
      </c>
      <c r="F22" s="17">
        <f>Feuil1!$D$25</f>
        <v>-1</v>
      </c>
    </row>
    <row r="23" spans="1:6" x14ac:dyDescent="0.15">
      <c r="A23" s="17">
        <f>Feuil1!D27</f>
        <v>1.5807639186460332E-2</v>
      </c>
      <c r="B23" s="17">
        <f>Feuil1!D15</f>
        <v>1.1341228885315042</v>
      </c>
      <c r="C23" s="17">
        <v>3.8461538461538464E-2</v>
      </c>
      <c r="D23" s="17">
        <f>Feuil1!$P3</f>
        <v>6.0899999999999999E-3</v>
      </c>
      <c r="E23" s="17">
        <f>Feuil1!$O3</f>
        <v>-1.009E-2</v>
      </c>
      <c r="F23" s="17">
        <f>Feuil1!$D$25</f>
        <v>-1</v>
      </c>
    </row>
    <row r="24" spans="1:6" x14ac:dyDescent="0.15">
      <c r="A24" s="17">
        <f>Feuil1!D28</f>
        <v>2.3701782541394101E-2</v>
      </c>
      <c r="B24" s="17">
        <f>Feuil1!D16</f>
        <v>1.141847810740074</v>
      </c>
      <c r="C24" s="17">
        <v>5.7692307692307696E-2</v>
      </c>
      <c r="D24" s="17">
        <f>Feuil1!$P4</f>
        <v>7.2399999999999999E-3</v>
      </c>
      <c r="E24" s="17">
        <f>Feuil1!$O4</f>
        <v>-9.0200000000000002E-3</v>
      </c>
      <c r="F24" s="17">
        <f>Feuil1!$D$25</f>
        <v>-1</v>
      </c>
    </row>
    <row r="25" spans="1:6" x14ac:dyDescent="0.15">
      <c r="A25" s="17">
        <f>Feuil1!D29</f>
        <v>2.8908791812470525E-2</v>
      </c>
      <c r="B25" s="17">
        <f>Feuil1!D17</f>
        <v>1.1472483282157571</v>
      </c>
      <c r="C25" s="17">
        <v>8.3333333333333329E-2</v>
      </c>
      <c r="D25" s="17">
        <f>Feuil1!$P5</f>
        <v>8.6300000000000005E-3</v>
      </c>
      <c r="E25" s="17">
        <f>Feuil1!$O5</f>
        <v>-8.2799999999999992E-3</v>
      </c>
      <c r="F25" s="17">
        <f>Feuil1!$D$25</f>
        <v>-1</v>
      </c>
    </row>
    <row r="26" spans="1:6" x14ac:dyDescent="0.15">
      <c r="A26" s="17">
        <f>Feuil1!D30</f>
        <v>3.900459324609018E-2</v>
      </c>
      <c r="B26" s="17">
        <f>Feuil1!D18</f>
        <v>1.1586307653134396</v>
      </c>
      <c r="C26" s="17">
        <v>0.16666666666666666</v>
      </c>
      <c r="D26" s="17">
        <f>Feuil1!$P6</f>
        <v>9.9600000000000001E-3</v>
      </c>
      <c r="E26" s="17">
        <f>Feuil1!$O6</f>
        <v>-8.6899999999999998E-3</v>
      </c>
      <c r="F26" s="17">
        <f>Feuil1!$D$25</f>
        <v>-1</v>
      </c>
    </row>
    <row r="27" spans="1:6" x14ac:dyDescent="0.15">
      <c r="A27" s="17">
        <f>Feuil1!D31</f>
        <v>4.7948223713142557E-2</v>
      </c>
      <c r="B27" s="17">
        <f>Feuil1!D19</f>
        <v>1.1687734755824739</v>
      </c>
      <c r="C27" s="17">
        <v>0.25</v>
      </c>
      <c r="D27" s="17">
        <f>Feuil1!$P7</f>
        <v>1.038E-2</v>
      </c>
      <c r="E27" s="17">
        <f>Feuil1!$O7</f>
        <v>-8.1700000000000002E-3</v>
      </c>
      <c r="F27" s="17">
        <f>Feuil1!$D$25</f>
        <v>-1</v>
      </c>
    </row>
    <row r="28" spans="1:6" x14ac:dyDescent="0.15">
      <c r="A28" s="17">
        <f>Feuil1!D32</f>
        <v>5.655226979770378E-2</v>
      </c>
      <c r="B28" s="17">
        <f>Feuil1!D20</f>
        <v>1.1786238714033941</v>
      </c>
      <c r="C28" s="17">
        <v>0.33333333333333331</v>
      </c>
      <c r="D28" s="17">
        <f>Feuil1!$P8</f>
        <v>1.0580000000000001E-2</v>
      </c>
      <c r="E28" s="17">
        <f>Feuil1!$O8</f>
        <v>-7.92E-3</v>
      </c>
      <c r="F28" s="17">
        <f>Feuil1!$D$25</f>
        <v>-1</v>
      </c>
    </row>
    <row r="29" spans="1:6" x14ac:dyDescent="0.15">
      <c r="A29" s="17">
        <f>Feuil1!D33</f>
        <v>7.0885142088793596E-2</v>
      </c>
      <c r="B29" s="17">
        <f>Feuil1!D21</f>
        <v>1.1959705772670541</v>
      </c>
      <c r="C29" s="17">
        <v>0.5</v>
      </c>
      <c r="D29" s="17">
        <f>Feuil1!$P9</f>
        <v>1.1039999999999999E-2</v>
      </c>
      <c r="E29" s="17">
        <f>Feuil1!$O9</f>
        <v>-7.9000000000000008E-3</v>
      </c>
      <c r="F29" s="17">
        <f>Feuil1!$D$25</f>
        <v>-1</v>
      </c>
    </row>
    <row r="30" spans="1:6" x14ac:dyDescent="0.15">
      <c r="A30" s="17">
        <f>Feuil1!D34</f>
        <v>8.9801614045704636E-2</v>
      </c>
      <c r="B30" s="17">
        <f>Feuil1!D22</f>
        <v>1.2199117357851721</v>
      </c>
      <c r="C30" s="17">
        <v>0.75</v>
      </c>
      <c r="D30" s="17">
        <f>Feuil1!$P10</f>
        <v>1.15E-2</v>
      </c>
      <c r="E30" s="17">
        <f>Feuil1!$O10</f>
        <v>-7.9699999999999997E-3</v>
      </c>
      <c r="F30" s="17">
        <f>Feuil1!$D$25</f>
        <v>-1</v>
      </c>
    </row>
    <row r="31" spans="1:6" x14ac:dyDescent="0.15">
      <c r="A31" s="17">
        <f>Feuil1!D35</f>
        <v>0.1065721835181197</v>
      </c>
      <c r="B31" s="17">
        <f>Feuil1!D23</f>
        <v>1.2418996915032909</v>
      </c>
      <c r="C31" s="17">
        <v>1</v>
      </c>
      <c r="D31" s="17">
        <f>Feuil1!$P11</f>
        <v>1.187E-2</v>
      </c>
      <c r="E31" s="17">
        <f>Feuil1!$O11</f>
        <v>-7.7799999999999996E-3</v>
      </c>
      <c r="F31" s="17">
        <f>Feuil1!$D$25</f>
        <v>-1</v>
      </c>
    </row>
    <row r="32" spans="1:6" x14ac:dyDescent="0.15">
      <c r="A32" s="17">
        <f>Feuil1!E26</f>
        <v>7.5844081215896697E-3</v>
      </c>
      <c r="B32" s="17">
        <f>Feuil1!E14</f>
        <v>1.125271513656553</v>
      </c>
      <c r="C32" s="17">
        <v>1.9230769230769232E-2</v>
      </c>
      <c r="D32" s="17">
        <f>Feuil1!$P2</f>
        <v>8.1300000000000001E-3</v>
      </c>
      <c r="E32" s="17">
        <f>Feuil1!$O2</f>
        <v>-7.9299999999999995E-3</v>
      </c>
      <c r="F32" s="17">
        <f>Feuil1!$E$25</f>
        <v>-1</v>
      </c>
    </row>
    <row r="33" spans="1:6" x14ac:dyDescent="0.15">
      <c r="A33" s="17">
        <f>Feuil1!E27</f>
        <v>1.1542176089257117E-2</v>
      </c>
      <c r="B33" s="17">
        <f>Feuil1!E15</f>
        <v>1.1288822776743312</v>
      </c>
      <c r="C33" s="17">
        <v>3.8461538461538464E-2</v>
      </c>
      <c r="D33" s="17">
        <f>Feuil1!$P3</f>
        <v>6.0899999999999999E-3</v>
      </c>
      <c r="E33" s="17">
        <f>Feuil1!$O3</f>
        <v>-1.009E-2</v>
      </c>
      <c r="F33" s="17">
        <f>Feuil1!$E$25</f>
        <v>-1</v>
      </c>
    </row>
    <row r="34" spans="1:6" x14ac:dyDescent="0.15">
      <c r="A34" s="17">
        <f>Feuil1!E28</f>
        <v>1.7203165141199017E-2</v>
      </c>
      <c r="B34" s="17">
        <f>Feuil1!E16</f>
        <v>1.1339137963980768</v>
      </c>
      <c r="C34" s="17">
        <v>5.7692307692307696E-2</v>
      </c>
      <c r="D34" s="17">
        <f>Feuil1!$P4</f>
        <v>7.2399999999999999E-3</v>
      </c>
      <c r="E34" s="17">
        <f>Feuil1!$O4</f>
        <v>-9.0200000000000002E-3</v>
      </c>
      <c r="F34" s="17">
        <f>Feuil1!$E$25</f>
        <v>-1</v>
      </c>
    </row>
    <row r="35" spans="1:6" x14ac:dyDescent="0.15">
      <c r="A35" s="17">
        <f>Feuil1!E29</f>
        <v>2.086493176881199E-2</v>
      </c>
      <c r="B35" s="17">
        <f>Feuil1!E17</f>
        <v>1.1374785721052254</v>
      </c>
      <c r="C35" s="17">
        <v>8.3333333333333329E-2</v>
      </c>
      <c r="D35" s="17">
        <f>Feuil1!$P5</f>
        <v>8.6300000000000005E-3</v>
      </c>
      <c r="E35" s="17">
        <f>Feuil1!$O5</f>
        <v>-8.2799999999999992E-3</v>
      </c>
      <c r="F35" s="17">
        <f>Feuil1!$E$25</f>
        <v>-1</v>
      </c>
    </row>
    <row r="36" spans="1:6" x14ac:dyDescent="0.15">
      <c r="A36" s="17">
        <f>Feuil1!E30</f>
        <v>2.7996401848442432E-2</v>
      </c>
      <c r="B36" s="17">
        <f>Feuil1!E18</f>
        <v>1.145324435459957</v>
      </c>
      <c r="C36" s="17">
        <v>0.16666666666666666</v>
      </c>
      <c r="D36" s="17">
        <f>Feuil1!$P6</f>
        <v>9.9600000000000001E-3</v>
      </c>
      <c r="E36" s="17">
        <f>Feuil1!$O6</f>
        <v>-8.6899999999999998E-3</v>
      </c>
      <c r="F36" s="17">
        <f>Feuil1!$E$25</f>
        <v>-1</v>
      </c>
    </row>
    <row r="37" spans="1:6" x14ac:dyDescent="0.15">
      <c r="A37" s="17">
        <f>Feuil1!E31</f>
        <v>3.4036764881564596E-2</v>
      </c>
      <c r="B37" s="17">
        <f>Feuil1!E19</f>
        <v>1.1521018276523367</v>
      </c>
      <c r="C37" s="17">
        <v>0.25</v>
      </c>
      <c r="D37" s="17">
        <f>Feuil1!$P7</f>
        <v>1.038E-2</v>
      </c>
      <c r="E37" s="17">
        <f>Feuil1!$O7</f>
        <v>-8.1700000000000002E-3</v>
      </c>
      <c r="F37" s="17">
        <f>Feuil1!$E$25</f>
        <v>-1</v>
      </c>
    </row>
    <row r="38" spans="1:6" x14ac:dyDescent="0.15">
      <c r="A38" s="17">
        <f>Feuil1!E32</f>
        <v>4.0472824254571216E-2</v>
      </c>
      <c r="B38" s="17">
        <f>Feuil1!E20</f>
        <v>1.1592370761111381</v>
      </c>
      <c r="C38" s="17">
        <v>0.33333333333333331</v>
      </c>
      <c r="D38" s="17">
        <f>Feuil1!$P8</f>
        <v>1.0580000000000001E-2</v>
      </c>
      <c r="E38" s="17">
        <f>Feuil1!$O8</f>
        <v>-7.92E-3</v>
      </c>
      <c r="F38" s="17">
        <f>Feuil1!$E$25</f>
        <v>-1</v>
      </c>
    </row>
    <row r="39" spans="1:6" x14ac:dyDescent="0.15">
      <c r="A39" s="17">
        <f>Feuil1!E33</f>
        <v>5.0637866113885543E-2</v>
      </c>
      <c r="B39" s="17">
        <f>Feuil1!E21</f>
        <v>1.1715812819805302</v>
      </c>
      <c r="C39" s="17">
        <v>0.5</v>
      </c>
      <c r="D39" s="17">
        <f>Feuil1!$P9</f>
        <v>1.1039999999999999E-2</v>
      </c>
      <c r="E39" s="17">
        <f>Feuil1!$O9</f>
        <v>-7.9000000000000008E-3</v>
      </c>
      <c r="F39" s="17">
        <f>Feuil1!$E$25</f>
        <v>-1</v>
      </c>
    </row>
    <row r="40" spans="1:6" x14ac:dyDescent="0.15">
      <c r="A40" s="17">
        <f>Feuil1!E34</f>
        <v>6.4085922786994431E-2</v>
      </c>
      <c r="B40" s="17">
        <f>Feuil1!E22</f>
        <v>1.1889194251651916</v>
      </c>
      <c r="C40" s="17">
        <v>0.75</v>
      </c>
      <c r="D40" s="17">
        <f>Feuil1!$P10</f>
        <v>1.15E-2</v>
      </c>
      <c r="E40" s="17">
        <f>Feuil1!$O10</f>
        <v>-7.9699999999999997E-3</v>
      </c>
      <c r="F40" s="17">
        <f>Feuil1!$E$25</f>
        <v>-1</v>
      </c>
    </row>
    <row r="41" spans="1:6" x14ac:dyDescent="0.15">
      <c r="A41" s="17">
        <f>Feuil1!E35</f>
        <v>7.5903744417763819E-2</v>
      </c>
      <c r="B41" s="17">
        <f>Feuil1!E23</f>
        <v>1.2049288755787368</v>
      </c>
      <c r="C41" s="17">
        <v>1</v>
      </c>
      <c r="D41" s="17">
        <f>Feuil1!$P11</f>
        <v>1.187E-2</v>
      </c>
      <c r="E41" s="17">
        <f>Feuil1!$O11</f>
        <v>-7.7799999999999996E-3</v>
      </c>
      <c r="F41" s="17">
        <f>Feuil1!$E$25</f>
        <v>-1</v>
      </c>
    </row>
    <row r="42" spans="1:6" x14ac:dyDescent="0.15">
      <c r="A42" s="17">
        <f>Feuil1!F26</f>
        <v>5.6737894349565554E-3</v>
      </c>
      <c r="B42" s="17">
        <f>Feuil1!F14</f>
        <v>1.1225886734075965</v>
      </c>
      <c r="C42" s="17">
        <v>1.9230769230769232E-2</v>
      </c>
      <c r="D42" s="17">
        <f>Feuil1!$P2</f>
        <v>8.1300000000000001E-3</v>
      </c>
      <c r="E42" s="17">
        <f>Feuil1!$O2</f>
        <v>-7.9299999999999995E-3</v>
      </c>
      <c r="F42" s="17">
        <f>Feuil1!$F$25</f>
        <v>-1</v>
      </c>
    </row>
    <row r="43" spans="1:6" x14ac:dyDescent="0.15">
      <c r="A43" s="17">
        <f>Feuil1!F27</f>
        <v>8.5879242210101792E-3</v>
      </c>
      <c r="B43" s="17">
        <f>Feuil1!F15</f>
        <v>1.1247747714473701</v>
      </c>
      <c r="C43" s="17">
        <v>3.8461538461538464E-2</v>
      </c>
      <c r="D43" s="17">
        <f>Feuil1!$P3</f>
        <v>6.0899999999999999E-3</v>
      </c>
      <c r="E43" s="17">
        <f>Feuil1!$O3</f>
        <v>-1.009E-2</v>
      </c>
      <c r="F43" s="17">
        <f>Feuil1!$F$25</f>
        <v>-1</v>
      </c>
    </row>
    <row r="44" spans="1:6" x14ac:dyDescent="0.15">
      <c r="A44" s="17">
        <f>Feuil1!F28</f>
        <v>1.2768478455684296E-2</v>
      </c>
      <c r="B44" s="17">
        <f>Feuil1!F16</f>
        <v>1.1277819640606999</v>
      </c>
      <c r="C44" s="17">
        <v>5.7692307692307696E-2</v>
      </c>
      <c r="D44" s="17">
        <f>Feuil1!$P4</f>
        <v>7.2399999999999999E-3</v>
      </c>
      <c r="E44" s="17">
        <f>Feuil1!$O4</f>
        <v>-9.0200000000000002E-3</v>
      </c>
      <c r="F44" s="17">
        <f>Feuil1!$F$25</f>
        <v>-1</v>
      </c>
    </row>
    <row r="45" spans="1:6" x14ac:dyDescent="0.15">
      <c r="A45" s="17">
        <f>Feuil1!F29</f>
        <v>1.545787441251012E-2</v>
      </c>
      <c r="B45" s="17">
        <f>Feuil1!F17</f>
        <v>1.1300293172663785</v>
      </c>
      <c r="C45" s="17">
        <v>8.3333333333333329E-2</v>
      </c>
      <c r="D45" s="17">
        <f>Feuil1!$P5</f>
        <v>8.6300000000000005E-3</v>
      </c>
      <c r="E45" s="17">
        <f>Feuil1!$O5</f>
        <v>-8.2799999999999992E-3</v>
      </c>
      <c r="F45" s="17">
        <f>Feuil1!$F$25</f>
        <v>-1</v>
      </c>
    </row>
    <row r="46" spans="1:6" x14ac:dyDescent="0.15">
      <c r="A46" s="17">
        <f>Feuil1!F30</f>
        <v>2.0697784913075945E-2</v>
      </c>
      <c r="B46" s="17">
        <f>Feuil1!F18</f>
        <v>1.135309018679499</v>
      </c>
      <c r="C46" s="17">
        <v>0.16666666666666666</v>
      </c>
      <c r="D46" s="17">
        <f>Feuil1!$P6</f>
        <v>9.9600000000000001E-3</v>
      </c>
      <c r="E46" s="17">
        <f>Feuil1!$O6</f>
        <v>-8.6899999999999998E-3</v>
      </c>
      <c r="F46" s="17">
        <f>Feuil1!$F$25</f>
        <v>-1</v>
      </c>
    </row>
    <row r="47" spans="1:6" x14ac:dyDescent="0.15">
      <c r="A47" s="17">
        <f>Feuil1!F31</f>
        <v>2.5307955381839942E-2</v>
      </c>
      <c r="B47" s="17">
        <f>Feuil1!F19</f>
        <v>1.1400265160869676</v>
      </c>
      <c r="C47" s="17">
        <v>0.25</v>
      </c>
      <c r="D47" s="17">
        <f>Feuil1!$P7</f>
        <v>1.038E-2</v>
      </c>
      <c r="E47" s="17">
        <f>Feuil1!$O7</f>
        <v>-8.1700000000000002E-3</v>
      </c>
      <c r="F47" s="17">
        <f>Feuil1!$F$25</f>
        <v>-1</v>
      </c>
    </row>
    <row r="48" spans="1:6" x14ac:dyDescent="0.15">
      <c r="A48" s="17">
        <f>Feuil1!F32</f>
        <v>2.9938394965412174E-2</v>
      </c>
      <c r="B48" s="17">
        <f>Feuil1!F20</f>
        <v>1.1447866241794258</v>
      </c>
      <c r="C48" s="17">
        <v>0.33333333333333331</v>
      </c>
      <c r="D48" s="17">
        <f>Feuil1!$P8</f>
        <v>1.0580000000000001E-2</v>
      </c>
      <c r="E48" s="17">
        <f>Feuil1!$O8</f>
        <v>-7.92E-3</v>
      </c>
      <c r="F48" s="17">
        <f>Feuil1!$F$25</f>
        <v>-1</v>
      </c>
    </row>
    <row r="49" spans="1:6" x14ac:dyDescent="0.15">
      <c r="A49" s="17">
        <f>Feuil1!F33</f>
        <v>3.7485742600355088E-2</v>
      </c>
      <c r="B49" s="17">
        <f>Feuil1!F21</f>
        <v>1.1535235018527326</v>
      </c>
      <c r="C49" s="17">
        <v>0.5</v>
      </c>
      <c r="D49" s="17">
        <f>Feuil1!$P9</f>
        <v>1.1039999999999999E-2</v>
      </c>
      <c r="E49" s="17">
        <f>Feuil1!$O9</f>
        <v>-7.9000000000000008E-3</v>
      </c>
      <c r="F49" s="17">
        <f>Feuil1!$F$25</f>
        <v>-1</v>
      </c>
    </row>
    <row r="50" spans="1:6" x14ac:dyDescent="0.15">
      <c r="A50" s="17">
        <f>Feuil1!F34</f>
        <v>4.7510420612599691E-2</v>
      </c>
      <c r="B50" s="17">
        <f>Feuil1!F22</f>
        <v>1.1661013543456664</v>
      </c>
      <c r="C50" s="17">
        <v>0.75</v>
      </c>
      <c r="D50" s="17">
        <f>Feuil1!$P10</f>
        <v>1.15E-2</v>
      </c>
      <c r="E50" s="17">
        <f>Feuil1!$O10</f>
        <v>-7.9699999999999997E-3</v>
      </c>
      <c r="F50" s="17">
        <f>Feuil1!$F$25</f>
        <v>-1</v>
      </c>
    </row>
    <row r="51" spans="1:6" x14ac:dyDescent="0.15">
      <c r="A51" s="17">
        <f>Feuil1!F35</f>
        <v>5.6273546665596585E-2</v>
      </c>
      <c r="B51" s="17">
        <f>Feuil1!F23</f>
        <v>1.1778767606200693</v>
      </c>
      <c r="C51" s="17">
        <v>1</v>
      </c>
      <c r="D51" s="17">
        <f>Feuil1!$P11</f>
        <v>1.187E-2</v>
      </c>
      <c r="E51" s="17">
        <f>Feuil1!$O11</f>
        <v>-7.7799999999999996E-3</v>
      </c>
      <c r="F51" s="17">
        <f>Feuil1!$F$25</f>
        <v>-1</v>
      </c>
    </row>
    <row r="52" spans="1:6" x14ac:dyDescent="0.15">
      <c r="A52" s="17">
        <f>Feuil1!G26</f>
        <v>3.5822104929356113E-3</v>
      </c>
      <c r="B52" s="17">
        <f>Feuil1!G14</f>
        <v>1.1190802194962166</v>
      </c>
      <c r="C52" s="17">
        <v>1.9230769230769232E-2</v>
      </c>
      <c r="D52" s="17">
        <f>Feuil1!$P2</f>
        <v>8.1300000000000001E-3</v>
      </c>
      <c r="E52" s="17">
        <f>Feuil1!$O2</f>
        <v>-7.9299999999999995E-3</v>
      </c>
      <c r="F52" s="17">
        <f>Feuil1!$G$25</f>
        <v>1</v>
      </c>
    </row>
    <row r="53" spans="1:6" x14ac:dyDescent="0.15">
      <c r="A53" s="17">
        <f>Feuil1!G27</f>
        <v>5.3870143917289504E-3</v>
      </c>
      <c r="B53" s="17">
        <f>Feuil1!G15</f>
        <v>1.1194724073967608</v>
      </c>
      <c r="C53" s="17">
        <v>3.8461538461538464E-2</v>
      </c>
      <c r="D53" s="17">
        <f>Feuil1!$P3</f>
        <v>6.0899999999999999E-3</v>
      </c>
      <c r="E53" s="17">
        <f>Feuil1!$O3</f>
        <v>-1.009E-2</v>
      </c>
      <c r="F53" s="17">
        <f>Feuil1!$G$25</f>
        <v>1</v>
      </c>
    </row>
    <row r="54" spans="1:6" x14ac:dyDescent="0.15">
      <c r="A54" s="17">
        <f>Feuil1!G28</f>
        <v>7.9342625270716338E-3</v>
      </c>
      <c r="B54" s="17">
        <f>Feuil1!G16</f>
        <v>1.1199172968660283</v>
      </c>
      <c r="C54" s="17">
        <v>5.7692307692307696E-2</v>
      </c>
      <c r="D54" s="17">
        <f>Feuil1!$P4</f>
        <v>7.2399999999999999E-3</v>
      </c>
      <c r="E54" s="17">
        <f>Feuil1!$O4</f>
        <v>-9.0200000000000002E-3</v>
      </c>
      <c r="F54" s="17">
        <f>Feuil1!$G$25</f>
        <v>1</v>
      </c>
    </row>
    <row r="55" spans="1:6" x14ac:dyDescent="0.15">
      <c r="A55" s="17">
        <f>Feuil1!G29</f>
        <v>9.5687355806385321E-3</v>
      </c>
      <c r="B55" s="17">
        <f>Feuil1!G17</f>
        <v>1.1205201642635554</v>
      </c>
      <c r="C55" s="17">
        <v>8.3333333333333329E-2</v>
      </c>
      <c r="D55" s="17">
        <f>Feuil1!$P5</f>
        <v>8.6300000000000005E-3</v>
      </c>
      <c r="E55" s="17">
        <f>Feuil1!$O5</f>
        <v>-8.2799999999999992E-3</v>
      </c>
      <c r="F55" s="17">
        <f>Feuil1!$G$25</f>
        <v>1</v>
      </c>
    </row>
    <row r="56" spans="1:6" x14ac:dyDescent="0.15">
      <c r="A56" s="17">
        <f>Feuil1!G30</f>
        <v>1.2725592422106136E-2</v>
      </c>
      <c r="B56" s="17">
        <f>Feuil1!G18</f>
        <v>1.1225932361094408</v>
      </c>
      <c r="C56" s="17">
        <v>0.16666666666666666</v>
      </c>
      <c r="D56" s="17">
        <f>Feuil1!$P6</f>
        <v>9.9600000000000001E-3</v>
      </c>
      <c r="E56" s="17">
        <f>Feuil1!$O6</f>
        <v>-8.6899999999999998E-3</v>
      </c>
      <c r="F56" s="17">
        <f>Feuil1!$G$25</f>
        <v>1</v>
      </c>
    </row>
    <row r="57" spans="1:6" x14ac:dyDescent="0.15">
      <c r="A57" s="17">
        <f>Feuil1!G31</f>
        <v>1.5483415718207327E-2</v>
      </c>
      <c r="B57" s="17">
        <f>Feuil1!G19</f>
        <v>1.1244979268784234</v>
      </c>
      <c r="C57" s="17">
        <v>0.25</v>
      </c>
      <c r="D57" s="17">
        <f>Feuil1!$P7</f>
        <v>1.038E-2</v>
      </c>
      <c r="E57" s="17">
        <f>Feuil1!$O7</f>
        <v>-8.1700000000000002E-3</v>
      </c>
      <c r="F57" s="17">
        <f>Feuil1!$G$25</f>
        <v>1</v>
      </c>
    </row>
    <row r="58" spans="1:6" x14ac:dyDescent="0.15">
      <c r="A58" s="17">
        <f>Feuil1!G32</f>
        <v>1.8250073156384827E-2</v>
      </c>
      <c r="B58" s="17">
        <f>Feuil1!G20</f>
        <v>1.1264426309427931</v>
      </c>
      <c r="C58" s="17">
        <v>0.33333333333333331</v>
      </c>
      <c r="D58" s="17">
        <f>Feuil1!$P8</f>
        <v>1.0580000000000001E-2</v>
      </c>
      <c r="E58" s="17">
        <f>Feuil1!$O8</f>
        <v>-7.92E-3</v>
      </c>
      <c r="F58" s="17">
        <f>Feuil1!$G$25</f>
        <v>1</v>
      </c>
    </row>
    <row r="59" spans="1:6" x14ac:dyDescent="0.15">
      <c r="A59" s="17">
        <f>Feuil1!G33</f>
        <v>2.274792056812347E-2</v>
      </c>
      <c r="B59" s="17">
        <f>Feuil1!G21</f>
        <v>1.1305867142737447</v>
      </c>
      <c r="C59" s="17">
        <v>0.5</v>
      </c>
      <c r="D59" s="17">
        <f>Feuil1!$P9</f>
        <v>1.1039999999999999E-2</v>
      </c>
      <c r="E59" s="17">
        <f>Feuil1!$O9</f>
        <v>-7.9000000000000008E-3</v>
      </c>
      <c r="F59" s="17">
        <f>Feuil1!$G$25</f>
        <v>1</v>
      </c>
    </row>
    <row r="60" spans="1:6" x14ac:dyDescent="0.15">
      <c r="A60" s="17">
        <f>Feuil1!G34</f>
        <v>2.8619956760059129E-2</v>
      </c>
      <c r="B60" s="17">
        <f>Feuil1!G22</f>
        <v>1.137051723174173</v>
      </c>
      <c r="C60" s="17">
        <v>0.75</v>
      </c>
      <c r="D60" s="17">
        <f>Feuil1!$P10</f>
        <v>1.15E-2</v>
      </c>
      <c r="E60" s="17">
        <f>Feuil1!$O10</f>
        <v>-7.9699999999999997E-3</v>
      </c>
      <c r="F60" s="17">
        <f>Feuil1!$G$25</f>
        <v>1</v>
      </c>
    </row>
    <row r="61" spans="1:6" x14ac:dyDescent="0.15">
      <c r="A61" s="17">
        <f>Feuil1!G35</f>
        <v>3.3615839747588638E-2</v>
      </c>
      <c r="B61" s="17">
        <f>Feuil1!G23</f>
        <v>1.1434595870887483</v>
      </c>
      <c r="C61" s="17">
        <v>1</v>
      </c>
      <c r="D61" s="17">
        <f>Feuil1!$P11</f>
        <v>1.187E-2</v>
      </c>
      <c r="E61" s="17">
        <f>Feuil1!$O11</f>
        <v>-7.7799999999999996E-3</v>
      </c>
      <c r="F61" s="17">
        <f>Feuil1!$G$25</f>
        <v>1</v>
      </c>
    </row>
    <row r="62" spans="1:6" x14ac:dyDescent="0.15">
      <c r="A62" s="17">
        <f>Feuil1!H26</f>
        <v>5.5748538103042033E-3</v>
      </c>
      <c r="B62" s="17">
        <f>Feuil1!H14</f>
        <v>1.1156076265508272</v>
      </c>
      <c r="C62" s="17">
        <v>1.9230769230769232E-2</v>
      </c>
      <c r="D62" s="17">
        <f>Feuil1!$P2</f>
        <v>8.1300000000000001E-3</v>
      </c>
      <c r="E62" s="17">
        <f>Feuil1!$O2</f>
        <v>-7.9299999999999995E-3</v>
      </c>
      <c r="F62" s="17">
        <f>Feuil1!$H$25</f>
        <v>1</v>
      </c>
    </row>
    <row r="63" spans="1:6" x14ac:dyDescent="0.15">
      <c r="A63" s="17">
        <f>Feuil1!H27</f>
        <v>8.4010244723603522E-3</v>
      </c>
      <c r="B63" s="17">
        <f>Feuil1!H15</f>
        <v>1.114233896346924</v>
      </c>
      <c r="C63" s="17">
        <v>3.8461538461538464E-2</v>
      </c>
      <c r="D63" s="17">
        <f>Feuil1!$P3</f>
        <v>6.0899999999999999E-3</v>
      </c>
      <c r="E63" s="17">
        <f>Feuil1!$O3</f>
        <v>-1.009E-2</v>
      </c>
      <c r="F63" s="17">
        <f>Feuil1!$H$25</f>
        <v>1</v>
      </c>
    </row>
    <row r="64" spans="1:6" x14ac:dyDescent="0.15">
      <c r="A64" s="17">
        <f>Feuil1!H28</f>
        <v>1.235154845626818E-2</v>
      </c>
      <c r="B64" s="17">
        <f>Feuil1!H16</f>
        <v>1.1121950775298211</v>
      </c>
      <c r="C64" s="17">
        <v>5.7692307692307696E-2</v>
      </c>
      <c r="D64" s="17">
        <f>Feuil1!$P4</f>
        <v>7.2399999999999999E-3</v>
      </c>
      <c r="E64" s="17">
        <f>Feuil1!$O4</f>
        <v>-9.0200000000000002E-3</v>
      </c>
      <c r="F64" s="17">
        <f>Feuil1!$H$25</f>
        <v>1</v>
      </c>
    </row>
    <row r="65" spans="1:6" x14ac:dyDescent="0.15">
      <c r="A65" s="17">
        <f>Feuil1!H29</f>
        <v>1.4902733989030637E-2</v>
      </c>
      <c r="B65" s="17">
        <f>Feuil1!H17</f>
        <v>1.111189636359297</v>
      </c>
      <c r="C65" s="17">
        <v>8.3333333333333329E-2</v>
      </c>
      <c r="D65" s="17">
        <f>Feuil1!$P5</f>
        <v>8.6300000000000005E-3</v>
      </c>
      <c r="E65" s="17">
        <f>Feuil1!$O5</f>
        <v>-8.2799999999999992E-3</v>
      </c>
      <c r="F65" s="17">
        <f>Feuil1!$H$25</f>
        <v>1</v>
      </c>
    </row>
    <row r="66" spans="1:6" x14ac:dyDescent="0.15">
      <c r="A66" s="17">
        <f>Feuil1!H30</f>
        <v>1.9878155055489732E-2</v>
      </c>
      <c r="B66" s="17">
        <f>Feuil1!H18</f>
        <v>1.1101369062182214</v>
      </c>
      <c r="C66" s="17">
        <v>0.16666666666666666</v>
      </c>
      <c r="D66" s="17">
        <f>Feuil1!$P6</f>
        <v>9.9600000000000001E-3</v>
      </c>
      <c r="E66" s="17">
        <f>Feuil1!$O6</f>
        <v>-8.6899999999999998E-3</v>
      </c>
      <c r="F66" s="17">
        <f>Feuil1!$H$25</f>
        <v>1</v>
      </c>
    </row>
    <row r="67" spans="1:6" x14ac:dyDescent="0.15">
      <c r="A67" s="17">
        <f>Feuil1!H31</f>
        <v>2.4218618243405987E-2</v>
      </c>
      <c r="B67" s="17">
        <f>Feuil1!H19</f>
        <v>1.1093036208089533</v>
      </c>
      <c r="C67" s="17">
        <v>0.25</v>
      </c>
      <c r="D67" s="17">
        <f>Feuil1!$P7</f>
        <v>1.038E-2</v>
      </c>
      <c r="E67" s="17">
        <f>Feuil1!$O7</f>
        <v>-8.1700000000000002E-3</v>
      </c>
      <c r="F67" s="17">
        <f>Feuil1!$H$25</f>
        <v>1</v>
      </c>
    </row>
    <row r="68" spans="1:6" x14ac:dyDescent="0.15">
      <c r="A68" s="17">
        <f>Feuil1!H32</f>
        <v>2.8614603832178842E-2</v>
      </c>
      <c r="B68" s="17">
        <f>Feuil1!H20</f>
        <v>1.1084717228452108</v>
      </c>
      <c r="C68" s="17">
        <v>0.33333333333333331</v>
      </c>
      <c r="D68" s="17">
        <f>Feuil1!$P8</f>
        <v>1.0580000000000001E-2</v>
      </c>
      <c r="E68" s="17">
        <f>Feuil1!$O8</f>
        <v>-7.92E-3</v>
      </c>
      <c r="F68" s="17">
        <f>Feuil1!$H$25</f>
        <v>1</v>
      </c>
    </row>
    <row r="69" spans="1:6" x14ac:dyDescent="0.15">
      <c r="A69" s="17">
        <f>Feuil1!H33</f>
        <v>3.5743021872003289E-2</v>
      </c>
      <c r="B69" s="17">
        <f>Feuil1!H21</f>
        <v>1.1081295841019374</v>
      </c>
      <c r="C69" s="17">
        <v>0.5</v>
      </c>
      <c r="D69" s="17">
        <f>Feuil1!$P9</f>
        <v>1.1039999999999999E-2</v>
      </c>
      <c r="E69" s="17">
        <f>Feuil1!$O9</f>
        <v>-7.9000000000000008E-3</v>
      </c>
      <c r="F69" s="17">
        <f>Feuil1!$H$25</f>
        <v>1</v>
      </c>
    </row>
    <row r="70" spans="1:6" x14ac:dyDescent="0.15">
      <c r="A70" s="17">
        <f>Feuil1!H34</f>
        <v>4.4949326111713761E-2</v>
      </c>
      <c r="B70" s="17">
        <f>Feuil1!H22</f>
        <v>1.1088267986244305</v>
      </c>
      <c r="C70" s="17">
        <v>0.75</v>
      </c>
      <c r="D70" s="17">
        <f>Feuil1!$P10</f>
        <v>1.15E-2</v>
      </c>
      <c r="E70" s="17">
        <f>Feuil1!$O10</f>
        <v>-7.9699999999999997E-3</v>
      </c>
      <c r="F70" s="17">
        <f>Feuil1!$H$25</f>
        <v>1</v>
      </c>
    </row>
    <row r="71" spans="1:6" x14ac:dyDescent="0.15">
      <c r="A71" s="17">
        <f>Feuil1!H35</f>
        <v>5.2675943496831801E-2</v>
      </c>
      <c r="B71" s="17">
        <f>Feuil1!H23</f>
        <v>1.1103932475638054</v>
      </c>
      <c r="C71" s="17">
        <v>1</v>
      </c>
      <c r="D71" s="17">
        <f>Feuil1!$P11</f>
        <v>1.187E-2</v>
      </c>
      <c r="E71" s="17">
        <f>Feuil1!$O11</f>
        <v>-7.7799999999999996E-3</v>
      </c>
      <c r="F71" s="17">
        <f>Feuil1!$H$25</f>
        <v>1</v>
      </c>
    </row>
    <row r="72" spans="1:6" x14ac:dyDescent="0.15">
      <c r="A72" s="17">
        <f>Feuil1!I26</f>
        <v>7.4072623631776802E-3</v>
      </c>
      <c r="B72" s="17">
        <f>Feuil1!I14</f>
        <v>1.1129932573225882</v>
      </c>
      <c r="C72" s="17">
        <v>1.9230769230769232E-2</v>
      </c>
      <c r="D72" s="17">
        <f>Feuil1!$P2</f>
        <v>8.1300000000000001E-3</v>
      </c>
      <c r="E72" s="17">
        <f>Feuil1!$O2</f>
        <v>-7.9299999999999995E-3</v>
      </c>
      <c r="F72" s="17">
        <f>Feuil1!$I$25</f>
        <v>1</v>
      </c>
    </row>
    <row r="73" spans="1:6" x14ac:dyDescent="0.15">
      <c r="A73" s="17">
        <f>Feuil1!I27</f>
        <v>1.1237757668249304E-2</v>
      </c>
      <c r="B73" s="17">
        <f>Feuil1!I15</f>
        <v>1.1102258104951952</v>
      </c>
      <c r="C73" s="17">
        <v>3.8461538461538464E-2</v>
      </c>
      <c r="D73" s="17">
        <f>Feuil1!$P3</f>
        <v>6.0899999999999999E-3</v>
      </c>
      <c r="E73" s="17">
        <f>Feuil1!$O3</f>
        <v>-1.009E-2</v>
      </c>
      <c r="F73" s="17">
        <f>Feuil1!$I$25</f>
        <v>1</v>
      </c>
    </row>
    <row r="74" spans="1:6" x14ac:dyDescent="0.15">
      <c r="A74" s="17">
        <f>Feuil1!I28</f>
        <v>1.6515291414528011E-2</v>
      </c>
      <c r="B74" s="17">
        <f>Feuil1!I16</f>
        <v>1.1062940676375022</v>
      </c>
      <c r="C74" s="17">
        <v>5.7692307692307696E-2</v>
      </c>
      <c r="D74" s="17">
        <f>Feuil1!$P4</f>
        <v>7.2399999999999999E-3</v>
      </c>
      <c r="E74" s="17">
        <f>Feuil1!$O4</f>
        <v>-9.0200000000000002E-3</v>
      </c>
      <c r="F74" s="17">
        <f>Feuil1!$I$25</f>
        <v>1</v>
      </c>
    </row>
    <row r="75" spans="1:6" x14ac:dyDescent="0.15">
      <c r="A75" s="17">
        <f>Feuil1!I29</f>
        <v>1.9962419006677057E-2</v>
      </c>
      <c r="B75" s="17">
        <f>Feuil1!I17</f>
        <v>1.1040280226242183</v>
      </c>
      <c r="C75" s="17">
        <v>8.3333333333333329E-2</v>
      </c>
      <c r="D75" s="17">
        <f>Feuil1!$P5</f>
        <v>8.6300000000000005E-3</v>
      </c>
      <c r="E75" s="17">
        <f>Feuil1!$O5</f>
        <v>-8.2799999999999992E-3</v>
      </c>
      <c r="F75" s="17">
        <f>Feuil1!$I$25</f>
        <v>1</v>
      </c>
    </row>
    <row r="76" spans="1:6" x14ac:dyDescent="0.15">
      <c r="A76" s="17">
        <f>Feuil1!I30</f>
        <v>2.6764908992268244E-2</v>
      </c>
      <c r="B76" s="17">
        <f>Feuil1!I18</f>
        <v>1.1004329457903717</v>
      </c>
      <c r="C76" s="17">
        <v>0.16666666666666666</v>
      </c>
      <c r="D76" s="17">
        <f>Feuil1!$P6</f>
        <v>9.9600000000000001E-3</v>
      </c>
      <c r="E76" s="17">
        <f>Feuil1!$O6</f>
        <v>-8.6899999999999998E-3</v>
      </c>
      <c r="F76" s="17">
        <f>Feuil1!$I$25</f>
        <v>1</v>
      </c>
    </row>
    <row r="77" spans="1:6" x14ac:dyDescent="0.15">
      <c r="A77" s="17">
        <f>Feuil1!I31</f>
        <v>3.2948512556998821E-2</v>
      </c>
      <c r="B77" s="17">
        <f>Feuil1!I19</f>
        <v>1.097164798479612</v>
      </c>
      <c r="C77" s="17">
        <v>0.25</v>
      </c>
      <c r="D77" s="17">
        <f>Feuil1!$P7</f>
        <v>1.038E-2</v>
      </c>
      <c r="E77" s="17">
        <f>Feuil1!$O7</f>
        <v>-8.1700000000000002E-3</v>
      </c>
      <c r="F77" s="17">
        <f>Feuil1!$I$25</f>
        <v>1</v>
      </c>
    </row>
    <row r="78" spans="1:6" x14ac:dyDescent="0.15">
      <c r="A78" s="17">
        <f>Feuil1!I32</f>
        <v>3.8802495769856282E-2</v>
      </c>
      <c r="B78" s="17">
        <f>Feuil1!I20</f>
        <v>1.0941791897884223</v>
      </c>
      <c r="C78" s="17">
        <v>0.33333333333333331</v>
      </c>
      <c r="D78" s="17">
        <f>Feuil1!$P8</f>
        <v>1.0580000000000001E-2</v>
      </c>
      <c r="E78" s="17">
        <f>Feuil1!$O8</f>
        <v>-7.92E-3</v>
      </c>
      <c r="F78" s="17">
        <f>Feuil1!$I$25</f>
        <v>1</v>
      </c>
    </row>
    <row r="79" spans="1:6" x14ac:dyDescent="0.15">
      <c r="A79" s="17">
        <f>Feuil1!I33</f>
        <v>4.8734657604970866E-2</v>
      </c>
      <c r="B79" s="17">
        <f>Feuil1!I21</f>
        <v>1.0899443517373451</v>
      </c>
      <c r="C79" s="17">
        <v>0.5</v>
      </c>
      <c r="D79" s="17">
        <f>Feuil1!$P9</f>
        <v>1.1039999999999999E-2</v>
      </c>
      <c r="E79" s="17">
        <f>Feuil1!$O9</f>
        <v>-7.9000000000000008E-3</v>
      </c>
      <c r="F79" s="17">
        <f>Feuil1!$I$25</f>
        <v>1</v>
      </c>
    </row>
    <row r="80" spans="1:6" x14ac:dyDescent="0.15">
      <c r="A80" s="17">
        <f>Feuil1!I34</f>
        <v>6.1528977221734227E-2</v>
      </c>
      <c r="B80" s="17">
        <f>Feuil1!I22</f>
        <v>1.0855485354495302</v>
      </c>
      <c r="C80" s="17">
        <v>0.75</v>
      </c>
      <c r="D80" s="17">
        <f>Feuil1!$P10</f>
        <v>1.15E-2</v>
      </c>
      <c r="E80" s="17">
        <f>Feuil1!$O10</f>
        <v>-7.9699999999999997E-3</v>
      </c>
      <c r="F80" s="17">
        <f>Feuil1!$I$25</f>
        <v>1</v>
      </c>
    </row>
    <row r="81" spans="1:6" x14ac:dyDescent="0.15">
      <c r="A81" s="17">
        <f>Feuil1!I35</f>
        <v>7.222363969436929E-2</v>
      </c>
      <c r="B81" s="17">
        <f>Feuil1!I23</f>
        <v>1.0827818930636708</v>
      </c>
      <c r="C81" s="17">
        <v>1</v>
      </c>
      <c r="D81" s="17">
        <f>Feuil1!$P11</f>
        <v>1.187E-2</v>
      </c>
      <c r="E81" s="17">
        <f>Feuil1!$O11</f>
        <v>-7.7799999999999996E-3</v>
      </c>
      <c r="F81" s="17">
        <f>Feuil1!$I$25</f>
        <v>1</v>
      </c>
    </row>
    <row r="82" spans="1:6" x14ac:dyDescent="0.15">
      <c r="A82" s="17">
        <f>Feuil1!J26</f>
        <v>9.9491665679163344E-3</v>
      </c>
      <c r="B82" s="17">
        <f>Feuil1!J14</f>
        <v>1.1097964843781243</v>
      </c>
      <c r="C82" s="17">
        <v>1.9230769230769232E-2</v>
      </c>
      <c r="D82" s="17">
        <f>Feuil1!$P2</f>
        <v>8.1300000000000001E-3</v>
      </c>
      <c r="E82" s="17">
        <f>Feuil1!$O2</f>
        <v>-7.9299999999999995E-3</v>
      </c>
      <c r="F82" s="17">
        <f>Feuil1!$J$25</f>
        <v>1</v>
      </c>
    </row>
    <row r="83" spans="1:6" x14ac:dyDescent="0.15">
      <c r="A83" s="17">
        <f>Feuil1!J27</f>
        <v>1.5306818895935437E-2</v>
      </c>
      <c r="B83" s="17">
        <f>Feuil1!J15</f>
        <v>1.1051723669289835</v>
      </c>
      <c r="C83" s="17">
        <v>3.8461538461538464E-2</v>
      </c>
      <c r="D83" s="17">
        <f>Feuil1!$P3</f>
        <v>6.0899999999999999E-3</v>
      </c>
      <c r="E83" s="17">
        <f>Feuil1!$O3</f>
        <v>-1.009E-2</v>
      </c>
      <c r="F83" s="17">
        <f>Feuil1!$J$25</f>
        <v>1</v>
      </c>
    </row>
    <row r="84" spans="1:6" x14ac:dyDescent="0.15">
      <c r="A84" s="17">
        <f>Feuil1!J28</f>
        <v>2.2512365609241858E-2</v>
      </c>
      <c r="B84" s="17">
        <f>Feuil1!J16</f>
        <v>1.0988393827381286</v>
      </c>
      <c r="C84" s="17">
        <v>5.7692307692307696E-2</v>
      </c>
      <c r="D84" s="17">
        <f>Feuil1!$P4</f>
        <v>7.2399999999999999E-3</v>
      </c>
      <c r="E84" s="17">
        <f>Feuil1!$O4</f>
        <v>-9.0200000000000002E-3</v>
      </c>
      <c r="F84" s="17">
        <f>Feuil1!$J$25</f>
        <v>1</v>
      </c>
    </row>
    <row r="85" spans="1:6" x14ac:dyDescent="0.15">
      <c r="A85" s="17">
        <f>Feuil1!J29</f>
        <v>2.7381348346452894E-2</v>
      </c>
      <c r="B85" s="17">
        <f>Feuil1!J17</f>
        <v>1.0948480479208178</v>
      </c>
      <c r="C85" s="17">
        <v>8.3333333333333329E-2</v>
      </c>
      <c r="D85" s="17">
        <f>Feuil1!$P5</f>
        <v>8.6300000000000005E-3</v>
      </c>
      <c r="E85" s="17">
        <f>Feuil1!$O5</f>
        <v>-8.2799999999999992E-3</v>
      </c>
      <c r="F85" s="17">
        <f>Feuil1!$J$25</f>
        <v>1</v>
      </c>
    </row>
    <row r="86" spans="1:6" x14ac:dyDescent="0.15">
      <c r="A86" s="17">
        <f>Feuil1!J30</f>
        <v>3.7023933119618158E-2</v>
      </c>
      <c r="B86" s="17">
        <f>Feuil1!J18</f>
        <v>1.0877982293238802</v>
      </c>
      <c r="C86" s="17">
        <v>0.16666666666666666</v>
      </c>
      <c r="D86" s="17">
        <f>Feuil1!$P6</f>
        <v>9.9600000000000001E-3</v>
      </c>
      <c r="E86" s="17">
        <f>Feuil1!$O6</f>
        <v>-8.6899999999999998E-3</v>
      </c>
      <c r="F86" s="17">
        <f>Feuil1!$J$25</f>
        <v>1</v>
      </c>
    </row>
    <row r="87" spans="1:6" x14ac:dyDescent="0.15">
      <c r="A87" s="17">
        <f>Feuil1!J31</f>
        <v>4.5566192413534323E-2</v>
      </c>
      <c r="B87" s="17">
        <f>Feuil1!J19</f>
        <v>1.0815786010592789</v>
      </c>
      <c r="C87" s="17">
        <v>0.25</v>
      </c>
      <c r="D87" s="17">
        <f>Feuil1!$P7</f>
        <v>1.038E-2</v>
      </c>
      <c r="E87" s="17">
        <f>Feuil1!$O7</f>
        <v>-8.1700000000000002E-3</v>
      </c>
      <c r="F87" s="17">
        <f>Feuil1!$J$25</f>
        <v>1</v>
      </c>
    </row>
    <row r="88" spans="1:6" x14ac:dyDescent="0.15">
      <c r="A88" s="17">
        <f>Feuil1!J32</f>
        <v>5.4155637504608944E-2</v>
      </c>
      <c r="B88" s="17">
        <f>Feuil1!J20</f>
        <v>1.0753177229327462</v>
      </c>
      <c r="C88" s="17">
        <v>0.33333333333333331</v>
      </c>
      <c r="D88" s="17">
        <f>Feuil1!$P8</f>
        <v>1.0580000000000001E-2</v>
      </c>
      <c r="E88" s="17">
        <f>Feuil1!$O8</f>
        <v>-7.92E-3</v>
      </c>
      <c r="F88" s="17">
        <f>Feuil1!$J$25</f>
        <v>1</v>
      </c>
    </row>
    <row r="89" spans="1:6" x14ac:dyDescent="0.15">
      <c r="A89" s="17">
        <f>Feuil1!J33</f>
        <v>6.8479846187670335E-2</v>
      </c>
      <c r="B89" s="17">
        <f>Feuil1!J21</f>
        <v>1.065708291231116</v>
      </c>
      <c r="C89" s="17">
        <v>0.5</v>
      </c>
      <c r="D89" s="17">
        <f>Feuil1!$P9</f>
        <v>1.1039999999999999E-2</v>
      </c>
      <c r="E89" s="17">
        <f>Feuil1!$O9</f>
        <v>-7.9000000000000008E-3</v>
      </c>
      <c r="F89" s="17">
        <f>Feuil1!$J$25</f>
        <v>1</v>
      </c>
    </row>
    <row r="90" spans="1:6" x14ac:dyDescent="0.15">
      <c r="A90" s="17">
        <f>Feuil1!J34</f>
        <v>8.6888521085117687E-2</v>
      </c>
      <c r="B90" s="17">
        <f>Feuil1!J22</f>
        <v>1.0543326648079585</v>
      </c>
      <c r="C90" s="17">
        <v>0.75</v>
      </c>
      <c r="D90" s="17">
        <f>Feuil1!$P10</f>
        <v>1.15E-2</v>
      </c>
      <c r="E90" s="17">
        <f>Feuil1!$O10</f>
        <v>-7.9699999999999997E-3</v>
      </c>
      <c r="F90" s="17">
        <f>Feuil1!$J$25</f>
        <v>1</v>
      </c>
    </row>
    <row r="91" spans="1:6" x14ac:dyDescent="0.15">
      <c r="A91" s="17">
        <f>Feuil1!J35</f>
        <v>0.10228529212783199</v>
      </c>
      <c r="B91" s="17">
        <f>Feuil1!J23</f>
        <v>1.0456230327893925</v>
      </c>
      <c r="C91" s="17">
        <v>1</v>
      </c>
      <c r="D91" s="17">
        <f>Feuil1!$P11</f>
        <v>1.187E-2</v>
      </c>
      <c r="E91" s="17">
        <f>Feuil1!$O11</f>
        <v>-7.7799999999999996E-3</v>
      </c>
      <c r="F91" s="17">
        <f>Feuil1!$J$25</f>
        <v>1</v>
      </c>
    </row>
    <row r="92" spans="1:6" x14ac:dyDescent="0.15">
      <c r="A92" s="17">
        <f>Feuil1!K26</f>
        <v>1.1598803402416036E-2</v>
      </c>
      <c r="B92" s="17">
        <f>Feuil1!K14</f>
        <v>1.1078628784248929</v>
      </c>
      <c r="C92" s="17">
        <v>1.9230769230769232E-2</v>
      </c>
      <c r="D92" s="17">
        <f>Feuil1!$P2</f>
        <v>8.1300000000000001E-3</v>
      </c>
      <c r="E92" s="17">
        <f>Feuil1!$O2</f>
        <v>-7.9299999999999995E-3</v>
      </c>
      <c r="F92" s="17">
        <f>Feuil1!$K$25</f>
        <v>1</v>
      </c>
    </row>
    <row r="93" spans="1:6" x14ac:dyDescent="0.15">
      <c r="A93" s="17">
        <f>Feuil1!K27</f>
        <v>1.8163393442121478E-2</v>
      </c>
      <c r="B93" s="17">
        <f>Feuil1!K15</f>
        <v>1.1018876272540858</v>
      </c>
      <c r="C93" s="17">
        <v>3.8461538461538464E-2</v>
      </c>
      <c r="D93" s="17">
        <f>Feuil1!$P3</f>
        <v>6.0899999999999999E-3</v>
      </c>
      <c r="E93" s="17">
        <f>Feuil1!$O3</f>
        <v>-1.009E-2</v>
      </c>
      <c r="F93" s="17">
        <f>Feuil1!$K$25</f>
        <v>1</v>
      </c>
    </row>
    <row r="94" spans="1:6" x14ac:dyDescent="0.15">
      <c r="A94" s="17">
        <f>Feuil1!K28</f>
        <v>2.6879982352864595E-2</v>
      </c>
      <c r="B94" s="17">
        <f>Feuil1!K16</f>
        <v>1.0938423853099883</v>
      </c>
      <c r="C94" s="17">
        <v>5.7692307692307696E-2</v>
      </c>
      <c r="D94" s="17">
        <f>Feuil1!$P4</f>
        <v>7.2399999999999999E-3</v>
      </c>
      <c r="E94" s="17">
        <f>Feuil1!$O4</f>
        <v>-9.0200000000000002E-3</v>
      </c>
      <c r="F94" s="17">
        <f>Feuil1!$K$25</f>
        <v>1</v>
      </c>
    </row>
    <row r="95" spans="1:6" x14ac:dyDescent="0.15">
      <c r="A95" s="17">
        <f>Feuil1!K29</f>
        <v>3.285072963034763E-2</v>
      </c>
      <c r="B95" s="17">
        <f>Feuil1!K17</f>
        <v>1.0886130336183115</v>
      </c>
      <c r="C95" s="17">
        <v>8.3333333333333329E-2</v>
      </c>
      <c r="D95" s="17">
        <f>Feuil1!$P5</f>
        <v>8.6300000000000005E-3</v>
      </c>
      <c r="E95" s="17">
        <f>Feuil1!$O5</f>
        <v>-8.2799999999999992E-3</v>
      </c>
      <c r="F95" s="17">
        <f>Feuil1!$K$25</f>
        <v>1</v>
      </c>
    </row>
    <row r="96" spans="1:6" x14ac:dyDescent="0.15">
      <c r="A96" s="17">
        <f>Feuil1!K30</f>
        <v>4.4696800788907809E-2</v>
      </c>
      <c r="B96" s="17">
        <f>Feuil1!K18</f>
        <v>1.0790805387463274</v>
      </c>
      <c r="C96" s="17">
        <v>0.16666666666666666</v>
      </c>
      <c r="D96" s="17">
        <f>Feuil1!$P6</f>
        <v>9.9600000000000001E-3</v>
      </c>
      <c r="E96" s="17">
        <f>Feuil1!$O6</f>
        <v>-8.6899999999999998E-3</v>
      </c>
      <c r="F96" s="17">
        <f>Feuil1!$K$25</f>
        <v>1</v>
      </c>
    </row>
    <row r="97" spans="1:6" x14ac:dyDescent="0.15">
      <c r="A97" s="17">
        <f>Feuil1!K31</f>
        <v>5.5954880165587473E-2</v>
      </c>
      <c r="B97" s="17">
        <f>Feuil1!K19</f>
        <v>1.0699164196530657</v>
      </c>
      <c r="C97" s="17">
        <v>0.25</v>
      </c>
      <c r="D97" s="17">
        <f>Feuil1!$P7</f>
        <v>1.038E-2</v>
      </c>
      <c r="E97" s="17">
        <f>Feuil1!$O7</f>
        <v>-8.1700000000000002E-3</v>
      </c>
      <c r="F97" s="17">
        <f>Feuil1!$K$25</f>
        <v>1</v>
      </c>
    </row>
    <row r="98" spans="1:6" x14ac:dyDescent="0.15">
      <c r="A98" s="17">
        <f>Feuil1!K32</f>
        <v>6.5808829032284577E-2</v>
      </c>
      <c r="B98" s="17">
        <f>Feuil1!K20</f>
        <v>1.0620975222650533</v>
      </c>
      <c r="C98" s="17">
        <v>0.33333333333333331</v>
      </c>
      <c r="D98" s="17">
        <f>Feuil1!$P8</f>
        <v>1.0580000000000001E-2</v>
      </c>
      <c r="E98" s="17">
        <f>Feuil1!$O8</f>
        <v>-7.92E-3</v>
      </c>
      <c r="F98" s="17">
        <f>Feuil1!$K$25</f>
        <v>1</v>
      </c>
    </row>
    <row r="99" spans="1:6" x14ac:dyDescent="0.15">
      <c r="A99" s="17">
        <f>Feuil1!K33</f>
        <v>8.3586921298043015E-2</v>
      </c>
      <c r="B99" s="17">
        <f>Feuil1!K21</f>
        <v>1.0485658795337416</v>
      </c>
      <c r="C99" s="17">
        <v>0.5</v>
      </c>
      <c r="D99" s="17">
        <f>Feuil1!$P9</f>
        <v>1.1039999999999999E-2</v>
      </c>
      <c r="E99" s="17">
        <f>Feuil1!$O9</f>
        <v>-7.9000000000000008E-3</v>
      </c>
      <c r="F99" s="17">
        <f>Feuil1!$K$25</f>
        <v>1</v>
      </c>
    </row>
    <row r="100" spans="1:6" x14ac:dyDescent="0.15">
      <c r="A100" s="17">
        <f>Feuil1!K34</f>
        <v>0.10628154683206525</v>
      </c>
      <c r="B100" s="17">
        <f>Feuil1!K22</f>
        <v>1.0322390386769236</v>
      </c>
      <c r="C100" s="17">
        <v>0.75</v>
      </c>
      <c r="D100" s="17">
        <f>Feuil1!$P10</f>
        <v>1.15E-2</v>
      </c>
      <c r="E100" s="17">
        <f>Feuil1!$O10</f>
        <v>-7.9699999999999997E-3</v>
      </c>
      <c r="F100" s="17">
        <f>Feuil1!$K$25</f>
        <v>1</v>
      </c>
    </row>
    <row r="101" spans="1:6" x14ac:dyDescent="0.15">
      <c r="A101" s="17">
        <f>Feuil1!K35</f>
        <v>0.12530764214950463</v>
      </c>
      <c r="B101" s="17">
        <f>Feuil1!K23</f>
        <v>1.0192836576397495</v>
      </c>
      <c r="C101" s="17">
        <v>1</v>
      </c>
      <c r="D101" s="17">
        <f>Feuil1!$P11</f>
        <v>1.187E-2</v>
      </c>
      <c r="E101" s="17">
        <f>Feuil1!$O11</f>
        <v>-7.7799999999999996E-3</v>
      </c>
      <c r="F101" s="17">
        <f>Feuil1!$K$25</f>
        <v>1</v>
      </c>
    </row>
    <row r="102" spans="1:6" x14ac:dyDescent="0.15">
      <c r="A102" s="17">
        <f>Feuil1!L26</f>
        <v>1.3200205360869299E-2</v>
      </c>
      <c r="B102" s="17">
        <f>Feuil1!L14</f>
        <v>1.1060106776271481</v>
      </c>
      <c r="C102" s="17">
        <v>1.9230769230769232E-2</v>
      </c>
      <c r="D102" s="17">
        <f>Feuil1!$P2</f>
        <v>8.1300000000000001E-3</v>
      </c>
      <c r="E102" s="17">
        <f>Feuil1!$O2</f>
        <v>-7.9299999999999995E-3</v>
      </c>
      <c r="F102" s="17">
        <f>Feuil1!$L$25</f>
        <v>1</v>
      </c>
    </row>
    <row r="103" spans="1:6" x14ac:dyDescent="0.15">
      <c r="A103" s="17">
        <f>Feuil1!L27</f>
        <v>2.1828617320253763E-2</v>
      </c>
      <c r="B103" s="17">
        <f>Feuil1!L15</f>
        <v>1.0978415172496387</v>
      </c>
      <c r="C103" s="17">
        <v>3.8461538461538464E-2</v>
      </c>
      <c r="D103" s="17">
        <f>Feuil1!$P3</f>
        <v>6.0899999999999999E-3</v>
      </c>
      <c r="E103" s="17">
        <f>Feuil1!$O3</f>
        <v>-1.009E-2</v>
      </c>
      <c r="F103" s="17">
        <f>Feuil1!$L$25</f>
        <v>1</v>
      </c>
    </row>
    <row r="104" spans="1:6" x14ac:dyDescent="0.15">
      <c r="A104" s="17">
        <f>Feuil1!L28</f>
        <v>3.3029679370184972E-2</v>
      </c>
      <c r="B104" s="17">
        <f>Feuil1!L16</f>
        <v>1.0871324253149748</v>
      </c>
      <c r="C104" s="17">
        <v>5.7692307692307696E-2</v>
      </c>
      <c r="D104" s="17">
        <f>Feuil1!$P4</f>
        <v>7.2399999999999999E-3</v>
      </c>
      <c r="E104" s="17">
        <f>Feuil1!$O4</f>
        <v>-9.0200000000000002E-3</v>
      </c>
      <c r="F104" s="17">
        <f>Feuil1!$L$25</f>
        <v>1</v>
      </c>
    </row>
    <row r="105" spans="1:6" x14ac:dyDescent="0.15">
      <c r="A105" s="17">
        <f>Feuil1!L29</f>
        <v>4.0860774661908739E-2</v>
      </c>
      <c r="B105" s="17">
        <f>Feuil1!L17</f>
        <v>1.0799180606768468</v>
      </c>
      <c r="C105" s="17">
        <v>8.3333333333333329E-2</v>
      </c>
      <c r="D105" s="17">
        <f>Feuil1!$P5</f>
        <v>8.6300000000000005E-3</v>
      </c>
      <c r="E105" s="17">
        <f>Feuil1!$O5</f>
        <v>-8.2799999999999992E-3</v>
      </c>
      <c r="F105" s="17">
        <f>Feuil1!$L$25</f>
        <v>1</v>
      </c>
    </row>
    <row r="106" spans="1:6" x14ac:dyDescent="0.15">
      <c r="A106" s="17">
        <f>Feuil1!L30</f>
        <v>5.6239682865590446E-2</v>
      </c>
      <c r="B106" s="17">
        <f>Feuil1!L18</f>
        <v>1.0665909283374346</v>
      </c>
      <c r="C106" s="17">
        <v>0.16666666666666666</v>
      </c>
      <c r="D106" s="17">
        <f>Feuil1!$P6</f>
        <v>9.9600000000000001E-3</v>
      </c>
      <c r="E106" s="17">
        <f>Feuil1!$O6</f>
        <v>-8.6899999999999998E-3</v>
      </c>
      <c r="F106" s="17">
        <f>Feuil1!$L$25</f>
        <v>1</v>
      </c>
    </row>
    <row r="107" spans="1:6" x14ac:dyDescent="0.15">
      <c r="A107" s="17">
        <f>Feuil1!L31</f>
        <v>7.0092249757675584E-2</v>
      </c>
      <c r="B107" s="17">
        <f>Feuil1!L19</f>
        <v>1.0545621481151441</v>
      </c>
      <c r="C107" s="17">
        <v>0.25</v>
      </c>
      <c r="D107" s="17">
        <f>Feuil1!$P7</f>
        <v>1.038E-2</v>
      </c>
      <c r="E107" s="17">
        <f>Feuil1!$O7</f>
        <v>-8.1700000000000002E-3</v>
      </c>
      <c r="F107" s="17">
        <f>Feuil1!$L$25</f>
        <v>1</v>
      </c>
    </row>
    <row r="108" spans="1:6" x14ac:dyDescent="0.15">
      <c r="A108" s="17">
        <f>Feuil1!L32</f>
        <v>8.3651065040551753E-2</v>
      </c>
      <c r="B108" s="17">
        <f>Feuil1!L20</f>
        <v>1.0428061207396901</v>
      </c>
      <c r="C108" s="17">
        <v>0.33333333333333331</v>
      </c>
      <c r="D108" s="17">
        <f>Feuil1!$P8</f>
        <v>1.0580000000000001E-2</v>
      </c>
      <c r="E108" s="17">
        <f>Feuil1!$O8</f>
        <v>-7.92E-3</v>
      </c>
      <c r="F108" s="17">
        <f>Feuil1!$L$25</f>
        <v>1</v>
      </c>
    </row>
    <row r="109" spans="1:6" x14ac:dyDescent="0.15">
      <c r="A109" s="17">
        <f>Feuil1!L33</f>
        <v>0.10698586324259496</v>
      </c>
      <c r="B109" s="17">
        <f>Feuil1!L21</f>
        <v>1.0232506185401204</v>
      </c>
      <c r="C109" s="17">
        <v>0.5</v>
      </c>
      <c r="D109" s="17">
        <f>Feuil1!$P9</f>
        <v>1.1039999999999999E-2</v>
      </c>
      <c r="E109" s="17">
        <f>Feuil1!$O9</f>
        <v>-7.9000000000000008E-3</v>
      </c>
      <c r="F109" s="17">
        <f>Feuil1!$L$25</f>
        <v>1</v>
      </c>
    </row>
    <row r="110" spans="1:6" x14ac:dyDescent="0.15">
      <c r="A110" s="17">
        <f>Feuil1!L34</f>
        <v>0.1362641441181649</v>
      </c>
      <c r="B110" s="17">
        <f>Feuil1!L22</f>
        <v>0.9996635074514828</v>
      </c>
      <c r="C110" s="17">
        <v>0.75</v>
      </c>
      <c r="D110" s="17">
        <f>Feuil1!$P10</f>
        <v>1.15E-2</v>
      </c>
      <c r="E110" s="17">
        <f>Feuil1!$O10</f>
        <v>-7.9699999999999997E-3</v>
      </c>
      <c r="F110" s="17">
        <f>Feuil1!$L$25</f>
        <v>1</v>
      </c>
    </row>
    <row r="111" spans="1:6" x14ac:dyDescent="0.15">
      <c r="A111" s="17">
        <f>Feuil1!L35</f>
        <v>0.1606025290062929</v>
      </c>
      <c r="B111" s="17">
        <f>Feuil1!L23</f>
        <v>0.98074648288372346</v>
      </c>
      <c r="C111" s="17">
        <v>1</v>
      </c>
      <c r="D111" s="17">
        <f>Feuil1!$P11</f>
        <v>1.187E-2</v>
      </c>
      <c r="E111" s="17">
        <f>Feuil1!$O11</f>
        <v>-7.7799999999999996E-3</v>
      </c>
      <c r="F111" s="17">
        <f>Feuil1!$L$25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2017-06-07T17:23:37Z</dcterms:modified>
</cp:coreProperties>
</file>