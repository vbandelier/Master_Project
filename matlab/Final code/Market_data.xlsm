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mbandel/Desktop/Master_Project/matlab/Final code/"/>
    </mc:Choice>
  </mc:AlternateContent>
  <bookViews>
    <workbookView xWindow="0" yWindow="460" windowWidth="28800" windowHeight="16240" activeTab="2"/>
  </bookViews>
  <sheets>
    <sheet name="Book1" sheetId="1" r:id="rId1"/>
    <sheet name="Feuil1" sheetId="2" r:id="rId2"/>
    <sheet name="Feuil2" sheetId="3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03" i="3" l="1"/>
  <c r="B104" i="3"/>
  <c r="B105" i="3"/>
  <c r="B106" i="3"/>
  <c r="B107" i="3"/>
  <c r="B108" i="3"/>
  <c r="B109" i="3"/>
  <c r="B110" i="3"/>
  <c r="B111" i="3"/>
  <c r="B102" i="3"/>
  <c r="B93" i="3"/>
  <c r="B94" i="3"/>
  <c r="B95" i="3"/>
  <c r="B96" i="3"/>
  <c r="B97" i="3"/>
  <c r="B98" i="3"/>
  <c r="B99" i="3"/>
  <c r="B100" i="3"/>
  <c r="B101" i="3"/>
  <c r="B92" i="3"/>
  <c r="H14" i="2"/>
  <c r="F14" i="2"/>
  <c r="G14" i="2"/>
  <c r="C26" i="2"/>
  <c r="S2" i="2"/>
  <c r="S3" i="2"/>
  <c r="S4" i="2"/>
  <c r="S5" i="2"/>
  <c r="S6" i="2"/>
  <c r="S7" i="2"/>
  <c r="S8" i="2"/>
  <c r="S9" i="2"/>
  <c r="S10" i="2"/>
  <c r="S11" i="2"/>
  <c r="K3" i="2"/>
  <c r="Q3" i="2"/>
  <c r="N3" i="2"/>
  <c r="P3" i="2"/>
  <c r="K15" i="2"/>
  <c r="K4" i="2"/>
  <c r="Q4" i="2"/>
  <c r="N4" i="2"/>
  <c r="P4" i="2"/>
  <c r="K16" i="2"/>
  <c r="K5" i="2"/>
  <c r="Q5" i="2"/>
  <c r="N5" i="2"/>
  <c r="P5" i="2"/>
  <c r="K17" i="2"/>
  <c r="K6" i="2"/>
  <c r="Q6" i="2"/>
  <c r="N6" i="2"/>
  <c r="P6" i="2"/>
  <c r="K18" i="2"/>
  <c r="K7" i="2"/>
  <c r="Q7" i="2"/>
  <c r="N7" i="2"/>
  <c r="P7" i="2"/>
  <c r="K19" i="2"/>
  <c r="K8" i="2"/>
  <c r="Q8" i="2"/>
  <c r="N8" i="2"/>
  <c r="P8" i="2"/>
  <c r="K20" i="2"/>
  <c r="K9" i="2"/>
  <c r="Q9" i="2"/>
  <c r="N9" i="2"/>
  <c r="P9" i="2"/>
  <c r="K21" i="2"/>
  <c r="K10" i="2"/>
  <c r="Q10" i="2"/>
  <c r="N10" i="2"/>
  <c r="P10" i="2"/>
  <c r="K22" i="2"/>
  <c r="K11" i="2"/>
  <c r="Q11" i="2"/>
  <c r="P11" i="2"/>
  <c r="K23" i="2"/>
  <c r="K2" i="2"/>
  <c r="Q2" i="2"/>
  <c r="N2" i="2"/>
  <c r="P2" i="2"/>
  <c r="K14" i="2"/>
  <c r="F3" i="2"/>
  <c r="F15" i="2"/>
  <c r="F4" i="2"/>
  <c r="F16" i="2"/>
  <c r="F5" i="2"/>
  <c r="F17" i="2"/>
  <c r="F6" i="2"/>
  <c r="F18" i="2"/>
  <c r="F7" i="2"/>
  <c r="F19" i="2"/>
  <c r="F8" i="2"/>
  <c r="F20" i="2"/>
  <c r="F9" i="2"/>
  <c r="F21" i="2"/>
  <c r="F10" i="2"/>
  <c r="F22" i="2"/>
  <c r="F11" i="2"/>
  <c r="F23" i="2"/>
  <c r="F2" i="2"/>
  <c r="J3" i="2"/>
  <c r="J15" i="2"/>
  <c r="B83" i="3"/>
  <c r="J4" i="2"/>
  <c r="J16" i="2"/>
  <c r="B84" i="3"/>
  <c r="J5" i="2"/>
  <c r="J17" i="2"/>
  <c r="B85" i="3"/>
  <c r="J6" i="2"/>
  <c r="J18" i="2"/>
  <c r="B86" i="3"/>
  <c r="J7" i="2"/>
  <c r="J19" i="2"/>
  <c r="B87" i="3"/>
  <c r="J8" i="2"/>
  <c r="J20" i="2"/>
  <c r="B88" i="3"/>
  <c r="J9" i="2"/>
  <c r="J21" i="2"/>
  <c r="B89" i="3"/>
  <c r="J10" i="2"/>
  <c r="J22" i="2"/>
  <c r="B90" i="3"/>
  <c r="J11" i="2"/>
  <c r="J23" i="2"/>
  <c r="B91" i="3"/>
  <c r="J2" i="2"/>
  <c r="J14" i="2"/>
  <c r="B82" i="3"/>
  <c r="I3" i="2"/>
  <c r="I15" i="2"/>
  <c r="B73" i="3"/>
  <c r="I4" i="2"/>
  <c r="I16" i="2"/>
  <c r="B74" i="3"/>
  <c r="I5" i="2"/>
  <c r="I17" i="2"/>
  <c r="B75" i="3"/>
  <c r="I6" i="2"/>
  <c r="I18" i="2"/>
  <c r="B76" i="3"/>
  <c r="I7" i="2"/>
  <c r="I19" i="2"/>
  <c r="B77" i="3"/>
  <c r="I8" i="2"/>
  <c r="I20" i="2"/>
  <c r="B78" i="3"/>
  <c r="I9" i="2"/>
  <c r="I21" i="2"/>
  <c r="B79" i="3"/>
  <c r="I10" i="2"/>
  <c r="I22" i="2"/>
  <c r="B80" i="3"/>
  <c r="I11" i="2"/>
  <c r="I23" i="2"/>
  <c r="B81" i="3"/>
  <c r="I2" i="2"/>
  <c r="I14" i="2"/>
  <c r="B72" i="3"/>
  <c r="H3" i="2"/>
  <c r="H15" i="2"/>
  <c r="B63" i="3"/>
  <c r="H4" i="2"/>
  <c r="H16" i="2"/>
  <c r="B64" i="3"/>
  <c r="H5" i="2"/>
  <c r="H17" i="2"/>
  <c r="B65" i="3"/>
  <c r="H6" i="2"/>
  <c r="H18" i="2"/>
  <c r="B66" i="3"/>
  <c r="H7" i="2"/>
  <c r="H19" i="2"/>
  <c r="B67" i="3"/>
  <c r="H8" i="2"/>
  <c r="H20" i="2"/>
  <c r="B68" i="3"/>
  <c r="H9" i="2"/>
  <c r="H21" i="2"/>
  <c r="B69" i="3"/>
  <c r="H10" i="2"/>
  <c r="H22" i="2"/>
  <c r="B70" i="3"/>
  <c r="H11" i="2"/>
  <c r="H23" i="2"/>
  <c r="B71" i="3"/>
  <c r="H2" i="2"/>
  <c r="B62" i="3"/>
  <c r="G3" i="2"/>
  <c r="G15" i="2"/>
  <c r="B53" i="3"/>
  <c r="G4" i="2"/>
  <c r="G16" i="2"/>
  <c r="B54" i="3"/>
  <c r="G5" i="2"/>
  <c r="G17" i="2"/>
  <c r="B55" i="3"/>
  <c r="G6" i="2"/>
  <c r="G18" i="2"/>
  <c r="B56" i="3"/>
  <c r="G7" i="2"/>
  <c r="G19" i="2"/>
  <c r="B57" i="3"/>
  <c r="G8" i="2"/>
  <c r="G20" i="2"/>
  <c r="B58" i="3"/>
  <c r="G9" i="2"/>
  <c r="G21" i="2"/>
  <c r="B59" i="3"/>
  <c r="G10" i="2"/>
  <c r="G22" i="2"/>
  <c r="B60" i="3"/>
  <c r="G11" i="2"/>
  <c r="G23" i="2"/>
  <c r="B61" i="3"/>
  <c r="G2" i="2"/>
  <c r="B52" i="3"/>
  <c r="B43" i="3"/>
  <c r="B44" i="3"/>
  <c r="B45" i="3"/>
  <c r="B46" i="3"/>
  <c r="B47" i="3"/>
  <c r="B48" i="3"/>
  <c r="B49" i="3"/>
  <c r="B50" i="3"/>
  <c r="B51" i="3"/>
  <c r="B42" i="3"/>
  <c r="E3" i="2"/>
  <c r="E15" i="2"/>
  <c r="B33" i="3"/>
  <c r="E4" i="2"/>
  <c r="E16" i="2"/>
  <c r="B34" i="3"/>
  <c r="E5" i="2"/>
  <c r="E17" i="2"/>
  <c r="B35" i="3"/>
  <c r="E6" i="2"/>
  <c r="E18" i="2"/>
  <c r="B36" i="3"/>
  <c r="E7" i="2"/>
  <c r="E19" i="2"/>
  <c r="B37" i="3"/>
  <c r="E8" i="2"/>
  <c r="E20" i="2"/>
  <c r="B38" i="3"/>
  <c r="E9" i="2"/>
  <c r="E21" i="2"/>
  <c r="B39" i="3"/>
  <c r="E10" i="2"/>
  <c r="E22" i="2"/>
  <c r="B40" i="3"/>
  <c r="E11" i="2"/>
  <c r="E23" i="2"/>
  <c r="B41" i="3"/>
  <c r="E2" i="2"/>
  <c r="E14" i="2"/>
  <c r="B32" i="3"/>
  <c r="D3" i="2"/>
  <c r="D15" i="2"/>
  <c r="B23" i="3"/>
  <c r="D4" i="2"/>
  <c r="D16" i="2"/>
  <c r="B24" i="3"/>
  <c r="D5" i="2"/>
  <c r="D17" i="2"/>
  <c r="B25" i="3"/>
  <c r="D6" i="2"/>
  <c r="D18" i="2"/>
  <c r="B26" i="3"/>
  <c r="D7" i="2"/>
  <c r="D19" i="2"/>
  <c r="B27" i="3"/>
  <c r="D8" i="2"/>
  <c r="D20" i="2"/>
  <c r="B28" i="3"/>
  <c r="D9" i="2"/>
  <c r="D21" i="2"/>
  <c r="B29" i="3"/>
  <c r="D10" i="2"/>
  <c r="D22" i="2"/>
  <c r="B30" i="3"/>
  <c r="D11" i="2"/>
  <c r="D23" i="2"/>
  <c r="B31" i="3"/>
  <c r="D2" i="2"/>
  <c r="D14" i="2"/>
  <c r="B22" i="3"/>
  <c r="C3" i="2"/>
  <c r="C15" i="2"/>
  <c r="B13" i="3"/>
  <c r="C4" i="2"/>
  <c r="C16" i="2"/>
  <c r="B14" i="3"/>
  <c r="C5" i="2"/>
  <c r="C17" i="2"/>
  <c r="B15" i="3"/>
  <c r="C6" i="2"/>
  <c r="C18" i="2"/>
  <c r="B16" i="3"/>
  <c r="C7" i="2"/>
  <c r="C19" i="2"/>
  <c r="B17" i="3"/>
  <c r="C8" i="2"/>
  <c r="C20" i="2"/>
  <c r="B18" i="3"/>
  <c r="C9" i="2"/>
  <c r="C21" i="2"/>
  <c r="B19" i="3"/>
  <c r="C10" i="2"/>
  <c r="C22" i="2"/>
  <c r="B20" i="3"/>
  <c r="C11" i="2"/>
  <c r="C23" i="2"/>
  <c r="B21" i="3"/>
  <c r="C2" i="2"/>
  <c r="C14" i="2"/>
  <c r="B12" i="3"/>
  <c r="B3" i="2"/>
  <c r="B15" i="2"/>
  <c r="B3" i="3"/>
  <c r="B4" i="2"/>
  <c r="B16" i="2"/>
  <c r="B4" i="3"/>
  <c r="B5" i="2"/>
  <c r="B17" i="2"/>
  <c r="B5" i="3"/>
  <c r="B6" i="2"/>
  <c r="B18" i="2"/>
  <c r="B6" i="3"/>
  <c r="B7" i="2"/>
  <c r="B19" i="2"/>
  <c r="B7" i="3"/>
  <c r="B8" i="2"/>
  <c r="B20" i="2"/>
  <c r="B8" i="3"/>
  <c r="B9" i="2"/>
  <c r="B21" i="2"/>
  <c r="B9" i="3"/>
  <c r="B10" i="2"/>
  <c r="B22" i="2"/>
  <c r="B10" i="3"/>
  <c r="B11" i="2"/>
  <c r="B23" i="2"/>
  <c r="B11" i="3"/>
  <c r="B2" i="2"/>
  <c r="B14" i="2"/>
  <c r="B2" i="3"/>
  <c r="L3" i="2"/>
  <c r="L15" i="2"/>
  <c r="O3" i="2"/>
  <c r="O2" i="2"/>
  <c r="T1" i="2"/>
  <c r="L27" i="2"/>
  <c r="A103" i="3"/>
  <c r="L4" i="2"/>
  <c r="L16" i="2"/>
  <c r="O4" i="2"/>
  <c r="L28" i="2"/>
  <c r="A104" i="3"/>
  <c r="L5" i="2"/>
  <c r="L17" i="2"/>
  <c r="O5" i="2"/>
  <c r="L29" i="2"/>
  <c r="A105" i="3"/>
  <c r="L6" i="2"/>
  <c r="L18" i="2"/>
  <c r="O6" i="2"/>
  <c r="L30" i="2"/>
  <c r="A106" i="3"/>
  <c r="L7" i="2"/>
  <c r="L19" i="2"/>
  <c r="O7" i="2"/>
  <c r="L31" i="2"/>
  <c r="A107" i="3"/>
  <c r="L8" i="2"/>
  <c r="L20" i="2"/>
  <c r="O8" i="2"/>
  <c r="L32" i="2"/>
  <c r="A108" i="3"/>
  <c r="L9" i="2"/>
  <c r="L21" i="2"/>
  <c r="O9" i="2"/>
  <c r="L33" i="2"/>
  <c r="A109" i="3"/>
  <c r="L10" i="2"/>
  <c r="L22" i="2"/>
  <c r="O10" i="2"/>
  <c r="L34" i="2"/>
  <c r="A110" i="3"/>
  <c r="L11" i="2"/>
  <c r="L23" i="2"/>
  <c r="O11" i="2"/>
  <c r="L35" i="2"/>
  <c r="A111" i="3"/>
  <c r="L2" i="2"/>
  <c r="L14" i="2"/>
  <c r="L26" i="2"/>
  <c r="A102" i="3"/>
  <c r="K27" i="2"/>
  <c r="A93" i="3"/>
  <c r="K28" i="2"/>
  <c r="A94" i="3"/>
  <c r="K29" i="2"/>
  <c r="A95" i="3"/>
  <c r="K30" i="2"/>
  <c r="A96" i="3"/>
  <c r="K31" i="2"/>
  <c r="A97" i="3"/>
  <c r="K32" i="2"/>
  <c r="A98" i="3"/>
  <c r="K33" i="2"/>
  <c r="A99" i="3"/>
  <c r="K34" i="2"/>
  <c r="A100" i="3"/>
  <c r="K35" i="2"/>
  <c r="A101" i="3"/>
  <c r="K26" i="2"/>
  <c r="A92" i="3"/>
  <c r="J27" i="2"/>
  <c r="A83" i="3"/>
  <c r="J28" i="2"/>
  <c r="A84" i="3"/>
  <c r="J29" i="2"/>
  <c r="A85" i="3"/>
  <c r="J30" i="2"/>
  <c r="A86" i="3"/>
  <c r="J31" i="2"/>
  <c r="A87" i="3"/>
  <c r="J32" i="2"/>
  <c r="A88" i="3"/>
  <c r="J33" i="2"/>
  <c r="A89" i="3"/>
  <c r="J34" i="2"/>
  <c r="A90" i="3"/>
  <c r="J35" i="2"/>
  <c r="A91" i="3"/>
  <c r="J26" i="2"/>
  <c r="A82" i="3"/>
  <c r="I27" i="2"/>
  <c r="A73" i="3"/>
  <c r="I28" i="2"/>
  <c r="A74" i="3"/>
  <c r="I29" i="2"/>
  <c r="A75" i="3"/>
  <c r="I30" i="2"/>
  <c r="A76" i="3"/>
  <c r="I31" i="2"/>
  <c r="A77" i="3"/>
  <c r="I32" i="2"/>
  <c r="A78" i="3"/>
  <c r="I33" i="2"/>
  <c r="A79" i="3"/>
  <c r="I34" i="2"/>
  <c r="A80" i="3"/>
  <c r="I35" i="2"/>
  <c r="A81" i="3"/>
  <c r="I26" i="2"/>
  <c r="A72" i="3"/>
  <c r="H27" i="2"/>
  <c r="A63" i="3"/>
  <c r="H28" i="2"/>
  <c r="A64" i="3"/>
  <c r="H29" i="2"/>
  <c r="A65" i="3"/>
  <c r="H30" i="2"/>
  <c r="A66" i="3"/>
  <c r="H31" i="2"/>
  <c r="A67" i="3"/>
  <c r="H32" i="2"/>
  <c r="A68" i="3"/>
  <c r="H33" i="2"/>
  <c r="A69" i="3"/>
  <c r="H34" i="2"/>
  <c r="A70" i="3"/>
  <c r="H35" i="2"/>
  <c r="A71" i="3"/>
  <c r="H26" i="2"/>
  <c r="A62" i="3"/>
  <c r="G27" i="2"/>
  <c r="A53" i="3"/>
  <c r="G28" i="2"/>
  <c r="A54" i="3"/>
  <c r="G29" i="2"/>
  <c r="A55" i="3"/>
  <c r="G30" i="2"/>
  <c r="A56" i="3"/>
  <c r="G31" i="2"/>
  <c r="A57" i="3"/>
  <c r="G32" i="2"/>
  <c r="A58" i="3"/>
  <c r="G33" i="2"/>
  <c r="A59" i="3"/>
  <c r="G34" i="2"/>
  <c r="A60" i="3"/>
  <c r="G35" i="2"/>
  <c r="A61" i="3"/>
  <c r="G26" i="2"/>
  <c r="A52" i="3"/>
  <c r="F29" i="2"/>
  <c r="A45" i="3"/>
  <c r="F30" i="2"/>
  <c r="A46" i="3"/>
  <c r="F31" i="2"/>
  <c r="A47" i="3"/>
  <c r="F32" i="2"/>
  <c r="A48" i="3"/>
  <c r="F33" i="2"/>
  <c r="A49" i="3"/>
  <c r="F34" i="2"/>
  <c r="A50" i="3"/>
  <c r="F35" i="2"/>
  <c r="A51" i="3"/>
  <c r="F28" i="2"/>
  <c r="A44" i="3"/>
  <c r="F27" i="2"/>
  <c r="A43" i="3"/>
  <c r="F26" i="2"/>
  <c r="A42" i="3"/>
  <c r="E27" i="2"/>
  <c r="A33" i="3"/>
  <c r="E28" i="2"/>
  <c r="A34" i="3"/>
  <c r="E29" i="2"/>
  <c r="A35" i="3"/>
  <c r="E30" i="2"/>
  <c r="A36" i="3"/>
  <c r="E31" i="2"/>
  <c r="A37" i="3"/>
  <c r="E32" i="2"/>
  <c r="A38" i="3"/>
  <c r="E33" i="2"/>
  <c r="A39" i="3"/>
  <c r="E34" i="2"/>
  <c r="A40" i="3"/>
  <c r="E35" i="2"/>
  <c r="A41" i="3"/>
  <c r="E26" i="2"/>
  <c r="A32" i="3"/>
  <c r="D27" i="2"/>
  <c r="A23" i="3"/>
  <c r="D28" i="2"/>
  <c r="A24" i="3"/>
  <c r="D29" i="2"/>
  <c r="A25" i="3"/>
  <c r="D30" i="2"/>
  <c r="A26" i="3"/>
  <c r="D31" i="2"/>
  <c r="A27" i="3"/>
  <c r="D32" i="2"/>
  <c r="A28" i="3"/>
  <c r="D33" i="2"/>
  <c r="A29" i="3"/>
  <c r="D34" i="2"/>
  <c r="A30" i="3"/>
  <c r="D35" i="2"/>
  <c r="A31" i="3"/>
  <c r="D26" i="2"/>
  <c r="A22" i="3"/>
  <c r="C27" i="2"/>
  <c r="A13" i="3"/>
  <c r="C28" i="2"/>
  <c r="A14" i="3"/>
  <c r="C29" i="2"/>
  <c r="A15" i="3"/>
  <c r="C30" i="2"/>
  <c r="A16" i="3"/>
  <c r="C31" i="2"/>
  <c r="A17" i="3"/>
  <c r="C32" i="2"/>
  <c r="A18" i="3"/>
  <c r="C33" i="2"/>
  <c r="A19" i="3"/>
  <c r="C34" i="2"/>
  <c r="A20" i="3"/>
  <c r="C35" i="2"/>
  <c r="A21" i="3"/>
  <c r="A12" i="3"/>
  <c r="B27" i="2"/>
  <c r="A3" i="3"/>
  <c r="B28" i="2"/>
  <c r="A4" i="3"/>
  <c r="B29" i="2"/>
  <c r="A5" i="3"/>
  <c r="B30" i="2"/>
  <c r="A6" i="3"/>
  <c r="B31" i="2"/>
  <c r="A7" i="3"/>
  <c r="B32" i="2"/>
  <c r="A8" i="3"/>
  <c r="B33" i="2"/>
  <c r="A9" i="3"/>
  <c r="B34" i="2"/>
  <c r="A10" i="3"/>
  <c r="B35" i="2"/>
  <c r="A11" i="3"/>
  <c r="B26" i="2"/>
  <c r="A2" i="3"/>
  <c r="C38" i="2"/>
  <c r="D38" i="2"/>
  <c r="E38" i="2"/>
  <c r="F38" i="2"/>
  <c r="G38" i="2"/>
  <c r="H38" i="2"/>
  <c r="I38" i="2"/>
  <c r="J38" i="2"/>
  <c r="K38" i="2"/>
  <c r="L38" i="2"/>
  <c r="C39" i="2"/>
  <c r="D39" i="2"/>
  <c r="E39" i="2"/>
  <c r="F39" i="2"/>
  <c r="G39" i="2"/>
  <c r="H39" i="2"/>
  <c r="I39" i="2"/>
  <c r="J39" i="2"/>
  <c r="K39" i="2"/>
  <c r="L39" i="2"/>
  <c r="C40" i="2"/>
  <c r="D40" i="2"/>
  <c r="E40" i="2"/>
  <c r="F40" i="2"/>
  <c r="G40" i="2"/>
  <c r="H40" i="2"/>
  <c r="I40" i="2"/>
  <c r="J40" i="2"/>
  <c r="K40" i="2"/>
  <c r="L40" i="2"/>
  <c r="C41" i="2"/>
  <c r="D41" i="2"/>
  <c r="E41" i="2"/>
  <c r="F41" i="2"/>
  <c r="G41" i="2"/>
  <c r="H41" i="2"/>
  <c r="I41" i="2"/>
  <c r="J41" i="2"/>
  <c r="K41" i="2"/>
  <c r="L41" i="2"/>
  <c r="C42" i="2"/>
  <c r="D42" i="2"/>
  <c r="E42" i="2"/>
  <c r="F42" i="2"/>
  <c r="G42" i="2"/>
  <c r="H42" i="2"/>
  <c r="I42" i="2"/>
  <c r="J42" i="2"/>
  <c r="K42" i="2"/>
  <c r="L42" i="2"/>
  <c r="C43" i="2"/>
  <c r="D43" i="2"/>
  <c r="E43" i="2"/>
  <c r="F43" i="2"/>
  <c r="G43" i="2"/>
  <c r="H43" i="2"/>
  <c r="I43" i="2"/>
  <c r="J43" i="2"/>
  <c r="K43" i="2"/>
  <c r="L43" i="2"/>
  <c r="C44" i="2"/>
  <c r="D44" i="2"/>
  <c r="E44" i="2"/>
  <c r="F44" i="2"/>
  <c r="G44" i="2"/>
  <c r="H44" i="2"/>
  <c r="I44" i="2"/>
  <c r="J44" i="2"/>
  <c r="K44" i="2"/>
  <c r="L44" i="2"/>
  <c r="C45" i="2"/>
  <c r="D45" i="2"/>
  <c r="E45" i="2"/>
  <c r="F45" i="2"/>
  <c r="G45" i="2"/>
  <c r="H45" i="2"/>
  <c r="I45" i="2"/>
  <c r="J45" i="2"/>
  <c r="K45" i="2"/>
  <c r="L45" i="2"/>
  <c r="C46" i="2"/>
  <c r="D46" i="2"/>
  <c r="E46" i="2"/>
  <c r="F46" i="2"/>
  <c r="G46" i="2"/>
  <c r="H46" i="2"/>
  <c r="I46" i="2"/>
  <c r="J46" i="2"/>
  <c r="K46" i="2"/>
  <c r="L46" i="2"/>
  <c r="C47" i="2"/>
  <c r="D47" i="2"/>
  <c r="E47" i="2"/>
  <c r="F47" i="2"/>
  <c r="G47" i="2"/>
  <c r="H47" i="2"/>
  <c r="I47" i="2"/>
  <c r="J47" i="2"/>
  <c r="K47" i="2"/>
  <c r="L47" i="2"/>
  <c r="B38" i="2"/>
  <c r="B39" i="2"/>
  <c r="B40" i="2"/>
  <c r="B41" i="2"/>
  <c r="B42" i="2"/>
  <c r="B43" i="2"/>
  <c r="B44" i="2"/>
  <c r="B45" i="2"/>
  <c r="B46" i="2"/>
  <c r="B47" i="2"/>
</calcChain>
</file>

<file path=xl/sharedStrings.xml><?xml version="1.0" encoding="utf-8"?>
<sst xmlns="http://schemas.openxmlformats.org/spreadsheetml/2006/main" count="141" uniqueCount="69">
  <si>
    <t>CHF</t>
  </si>
  <si>
    <t>ATM</t>
  </si>
  <si>
    <t>35D Call EUR</t>
  </si>
  <si>
    <t>35D Put EUR</t>
  </si>
  <si>
    <t>25D Call EUR</t>
  </si>
  <si>
    <t>25D Put EUR</t>
  </si>
  <si>
    <t>15D Call EUR</t>
  </si>
  <si>
    <t>15D Put EUR</t>
  </si>
  <si>
    <t>10D Call EUR</t>
  </si>
  <si>
    <t>10D Put EUR</t>
  </si>
  <si>
    <t>5D Call EUR</t>
  </si>
  <si>
    <t>5D Put EUR</t>
  </si>
  <si>
    <t>1W</t>
  </si>
  <si>
    <t>2W</t>
  </si>
  <si>
    <t>3W</t>
  </si>
  <si>
    <t>1M</t>
  </si>
  <si>
    <t>2M</t>
  </si>
  <si>
    <t>3M</t>
  </si>
  <si>
    <t>4M</t>
  </si>
  <si>
    <t>6M</t>
  </si>
  <si>
    <t>9M</t>
  </si>
  <si>
    <t>1Y</t>
  </si>
  <si>
    <t>18M</t>
  </si>
  <si>
    <t>2Y</t>
  </si>
  <si>
    <t>3Y</t>
  </si>
  <si>
    <t>4Y</t>
  </si>
  <si>
    <t>5Y</t>
  </si>
  <si>
    <t>7Y</t>
  </si>
  <si>
    <t>10Y</t>
  </si>
  <si>
    <t>Exp</t>
  </si>
  <si>
    <t>CHF Interest rate</t>
  </si>
  <si>
    <t>Underlying information</t>
  </si>
  <si>
    <t>Maturity in fraction of year</t>
  </si>
  <si>
    <t>Spot price</t>
  </si>
  <si>
    <t>Strikes</t>
  </si>
  <si>
    <t>Mid Price Vol</t>
  </si>
  <si>
    <t>Option prices</t>
  </si>
  <si>
    <t>Maturity</t>
  </si>
  <si>
    <t>Prices</t>
  </si>
  <si>
    <t>Strike</t>
  </si>
  <si>
    <t>r</t>
  </si>
  <si>
    <t>q</t>
  </si>
  <si>
    <t>Option_type</t>
  </si>
  <si>
    <t>Delta</t>
  </si>
  <si>
    <t>USD Dep</t>
  </si>
  <si>
    <t>CHF Dep</t>
  </si>
  <si>
    <t>USDCHF Fwd</t>
  </si>
  <si>
    <t>5M</t>
  </si>
  <si>
    <t>USD</t>
  </si>
  <si>
    <t>Bloomberg BGN</t>
  </si>
  <si>
    <t>35D Call USD</t>
  </si>
  <si>
    <t>35D Put USD</t>
  </si>
  <si>
    <t>25D Call USD</t>
  </si>
  <si>
    <t>25D Put USD</t>
  </si>
  <si>
    <t>15D Call USD</t>
  </si>
  <si>
    <t>15D Put USD</t>
  </si>
  <si>
    <t>10D Call USD</t>
  </si>
  <si>
    <t>10D Put USD</t>
  </si>
  <si>
    <t>5D Call USD</t>
  </si>
  <si>
    <t>5D Put USD</t>
  </si>
  <si>
    <t>Mid</t>
  </si>
  <si>
    <t>Spread</t>
  </si>
  <si>
    <t>6Y</t>
  </si>
  <si>
    <t>15Y</t>
  </si>
  <si>
    <t>20Y</t>
  </si>
  <si>
    <t>25Y</t>
  </si>
  <si>
    <t>30Y</t>
  </si>
  <si>
    <t>USD Interest rate</t>
  </si>
  <si>
    <t>USDCHF Forward exchange 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</si>
</sst>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0.000000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u/>
      <sz val="10"/>
      <color theme="10"/>
      <name val="Arial"/>
    </font>
    <font>
      <u/>
      <sz val="10"/>
      <color theme="11"/>
      <name val="Arial"/>
    </font>
    <font>
      <sz val="12"/>
      <name val="Calibri"/>
    </font>
    <font>
      <b/>
      <sz val="12"/>
      <name val="Calibri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18">
    <xf numFmtId="0" fontId="18" fillId="0" borderId="0" xfId="0" applyFont="1"/>
    <xf numFmtId="0" fontId="21" fillId="0" borderId="0" xfId="0" applyFont="1"/>
    <xf numFmtId="14" fontId="21" fillId="0" borderId="0" xfId="0" applyNumberFormat="1" applyFont="1"/>
    <xf numFmtId="0" fontId="21" fillId="0" borderId="0" xfId="0" applyFont="1" applyAlignment="1">
      <alignment horizontal="center" wrapText="1"/>
    </xf>
    <xf numFmtId="2" fontId="21" fillId="0" borderId="0" xfId="0" applyNumberFormat="1" applyFont="1"/>
    <xf numFmtId="164" fontId="21" fillId="0" borderId="0" xfId="0" applyNumberFormat="1" applyFont="1"/>
    <xf numFmtId="165" fontId="21" fillId="0" borderId="0" xfId="0" applyNumberFormat="1" applyFont="1"/>
    <xf numFmtId="0" fontId="22" fillId="0" borderId="0" xfId="0" applyFont="1"/>
    <xf numFmtId="0" fontId="21" fillId="0" borderId="0" xfId="0" applyNumberFormat="1" applyFont="1"/>
    <xf numFmtId="0" fontId="21" fillId="0" borderId="0" xfId="42" applyNumberFormat="1" applyFont="1"/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right" vertical="center" wrapText="1"/>
    </xf>
    <xf numFmtId="10" fontId="0" fillId="0" borderId="0" xfId="0" applyNumberFormat="1" applyFont="1" applyAlignment="1">
      <alignment horizontal="right" vertical="center" wrapText="1"/>
    </xf>
    <xf numFmtId="0" fontId="21" fillId="0" borderId="0" xfId="0" applyFont="1" applyFill="1"/>
    <xf numFmtId="0" fontId="0" fillId="0" borderId="0" xfId="0" applyFont="1"/>
    <xf numFmtId="166" fontId="0" fillId="0" borderId="0" xfId="0" applyNumberFormat="1"/>
  </cellXfs>
  <cellStyles count="101">
    <cellStyle name="20 % - Accent1" xfId="19" builtinId="30" customBuiltin="1"/>
    <cellStyle name="20 % - Accent2" xfId="23" builtinId="34" customBuiltin="1"/>
    <cellStyle name="20 % - Accent3" xfId="27" builtinId="38" customBuiltin="1"/>
    <cellStyle name="20 % - Accent4" xfId="31" builtinId="42" customBuiltin="1"/>
    <cellStyle name="20 % - Accent5" xfId="35" builtinId="46" customBuiltin="1"/>
    <cellStyle name="20 % - Accent6" xfId="39" builtinId="50" customBuiltin="1"/>
    <cellStyle name="40 % - Accent1" xfId="20" builtinId="31" customBuiltin="1"/>
    <cellStyle name="40 % - Accent2" xfId="24" builtinId="35" customBuiltin="1"/>
    <cellStyle name="40 % - Accent3" xfId="28" builtinId="39" customBuiltin="1"/>
    <cellStyle name="40 % - Accent4" xfId="32" builtinId="43" customBuiltin="1"/>
    <cellStyle name="40 % - Accent5" xfId="36" builtinId="47" customBuiltin="1"/>
    <cellStyle name="40 % - Accent6" xfId="40" builtinId="51" customBuiltin="1"/>
    <cellStyle name="60 % - Accent1" xfId="21" builtinId="32" customBuiltin="1"/>
    <cellStyle name="60 % - Accent2" xfId="25" builtinId="36" customBuiltin="1"/>
    <cellStyle name="60 % - Accent3" xfId="29" builtinId="40" customBuiltin="1"/>
    <cellStyle name="60 % - Accent4" xfId="33" builtinId="44" customBuiltin="1"/>
    <cellStyle name="60 % - Accent5" xfId="37" builtinId="48" customBuiltin="1"/>
    <cellStyle name="60 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Neutre" xfId="8" builtinId="28" customBuiltin="1"/>
    <cellStyle name="Normal" xfId="0" builtinId="0"/>
    <cellStyle name="Pourcentage" xfId="42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 enableFormatConditionsCalculation="0"/>
  <dimension ref="A1:AD26"/>
  <sheetViews>
    <sheetView topLeftCell="M5" zoomScale="125" zoomScaleNormal="125" zoomScalePageLayoutView="125" workbookViewId="0">
      <selection activeCell="AD19" sqref="AD19"/>
    </sheetView>
  </sheetViews>
  <sheetFormatPr baseColWidth="10" defaultColWidth="8.83203125" defaultRowHeight="16" x14ac:dyDescent="0.2"/>
  <cols>
    <col min="1" max="1" width="5" style="1" bestFit="1" customWidth="1"/>
    <col min="2" max="2" width="8.6640625" style="1" bestFit="1" customWidth="1"/>
    <col min="3" max="3" width="11.33203125" style="1" bestFit="1" customWidth="1"/>
    <col min="4" max="4" width="11.5" style="1" bestFit="1" customWidth="1"/>
    <col min="5" max="5" width="11.1640625" style="1" bestFit="1" customWidth="1"/>
    <col min="6" max="6" width="11.1640625" style="1" customWidth="1"/>
    <col min="7" max="7" width="11.1640625" style="1" bestFit="1" customWidth="1"/>
    <col min="8" max="8" width="11.83203125" style="1" bestFit="1" customWidth="1"/>
    <col min="9" max="9" width="6.83203125" style="1" bestFit="1" customWidth="1"/>
    <col min="10" max="10" width="11.6640625" style="1" bestFit="1" customWidth="1"/>
    <col min="11" max="11" width="7.83203125" style="1" bestFit="1" customWidth="1"/>
    <col min="12" max="12" width="11.83203125" style="1" bestFit="1" customWidth="1"/>
    <col min="13" max="13" width="6.83203125" style="1" bestFit="1" customWidth="1"/>
    <col min="14" max="14" width="11.6640625" style="1" bestFit="1" customWidth="1"/>
    <col min="15" max="15" width="7.83203125" style="1" bestFit="1" customWidth="1"/>
    <col min="16" max="16" width="11.83203125" style="1" bestFit="1" customWidth="1"/>
    <col min="17" max="17" width="6.83203125" style="1" bestFit="1" customWidth="1"/>
    <col min="18" max="18" width="11.6640625" style="1" bestFit="1" customWidth="1"/>
    <col min="19" max="19" width="7.83203125" style="1" bestFit="1" customWidth="1"/>
    <col min="20" max="20" width="10.83203125" style="1" bestFit="1" customWidth="1"/>
    <col min="21" max="21" width="6.83203125" style="1" bestFit="1" customWidth="1"/>
    <col min="22" max="22" width="10.6640625" style="1" bestFit="1" customWidth="1"/>
    <col min="23" max="23" width="7.83203125" style="1" bestFit="1" customWidth="1"/>
    <col min="24" max="25" width="8.83203125" style="1"/>
    <col min="26" max="26" width="14.33203125" style="1" bestFit="1" customWidth="1"/>
    <col min="27" max="27" width="11.6640625" style="1" customWidth="1"/>
    <col min="28" max="28" width="14.1640625" style="1" bestFit="1" customWidth="1"/>
    <col min="29" max="29" width="18.33203125" style="1" customWidth="1"/>
    <col min="30" max="30" width="15" style="8" bestFit="1" customWidth="1"/>
    <col min="31" max="31" width="11.6640625" style="1" bestFit="1" customWidth="1"/>
    <col min="32" max="32" width="11.1640625" style="1" bestFit="1" customWidth="1"/>
    <col min="33" max="33" width="15.1640625" style="1" bestFit="1" customWidth="1"/>
    <col min="34" max="34" width="4.1640625" style="1" bestFit="1" customWidth="1"/>
    <col min="35" max="35" width="10.83203125" style="1" bestFit="1" customWidth="1"/>
    <col min="36" max="16384" width="8.83203125" style="1"/>
  </cols>
  <sheetData>
    <row r="1" spans="1:30" x14ac:dyDescent="0.2">
      <c r="A1" s="16" t="s">
        <v>48</v>
      </c>
      <c r="B1" s="16" t="s">
        <v>0</v>
      </c>
      <c r="C1" s="16"/>
      <c r="D1" s="16" t="s">
        <v>49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/>
      <c r="Q1"/>
      <c r="R1"/>
      <c r="S1"/>
      <c r="T1"/>
      <c r="U1"/>
      <c r="V1"/>
      <c r="W1"/>
      <c r="Z1" s="7" t="s">
        <v>31</v>
      </c>
      <c r="AD1" s="1"/>
    </row>
    <row r="2" spans="1:30" x14ac:dyDescent="0.2">
      <c r="A2" s="16"/>
      <c r="B2" s="16" t="s">
        <v>1</v>
      </c>
      <c r="C2" s="16"/>
      <c r="D2" s="16" t="s">
        <v>50</v>
      </c>
      <c r="E2" s="16"/>
      <c r="F2" s="16" t="s">
        <v>51</v>
      </c>
      <c r="G2" s="16"/>
      <c r="H2" s="16" t="s">
        <v>52</v>
      </c>
      <c r="I2" s="16"/>
      <c r="J2" s="16" t="s">
        <v>53</v>
      </c>
      <c r="K2" s="16"/>
      <c r="L2" s="16" t="s">
        <v>54</v>
      </c>
      <c r="M2" s="16"/>
      <c r="N2" s="16" t="s">
        <v>55</v>
      </c>
      <c r="O2" s="16"/>
      <c r="P2" t="s">
        <v>56</v>
      </c>
      <c r="Q2"/>
      <c r="R2" t="s">
        <v>57</v>
      </c>
      <c r="S2"/>
      <c r="T2" t="s">
        <v>58</v>
      </c>
      <c r="U2"/>
      <c r="V2" t="s">
        <v>59</v>
      </c>
      <c r="W2"/>
      <c r="AD2" s="1"/>
    </row>
    <row r="3" spans="1:30" x14ac:dyDescent="0.2">
      <c r="A3" s="16"/>
      <c r="B3" s="16" t="s">
        <v>60</v>
      </c>
      <c r="C3" s="16" t="s">
        <v>61</v>
      </c>
      <c r="D3" s="16" t="s">
        <v>60</v>
      </c>
      <c r="E3" s="16" t="s">
        <v>61</v>
      </c>
      <c r="F3" s="16" t="s">
        <v>60</v>
      </c>
      <c r="G3" s="16" t="s">
        <v>61</v>
      </c>
      <c r="H3" s="16" t="s">
        <v>60</v>
      </c>
      <c r="I3" s="16" t="s">
        <v>61</v>
      </c>
      <c r="J3" s="16" t="s">
        <v>60</v>
      </c>
      <c r="K3" s="16" t="s">
        <v>61</v>
      </c>
      <c r="L3" s="16" t="s">
        <v>60</v>
      </c>
      <c r="M3" s="16" t="s">
        <v>61</v>
      </c>
      <c r="N3" s="16" t="s">
        <v>60</v>
      </c>
      <c r="O3" s="16" t="s">
        <v>61</v>
      </c>
      <c r="P3" t="s">
        <v>60</v>
      </c>
      <c r="Q3" t="s">
        <v>61</v>
      </c>
      <c r="R3" t="s">
        <v>60</v>
      </c>
      <c r="S3" t="s">
        <v>61</v>
      </c>
      <c r="T3" t="s">
        <v>60</v>
      </c>
      <c r="U3" t="s">
        <v>61</v>
      </c>
      <c r="V3" t="s">
        <v>60</v>
      </c>
      <c r="W3" t="s">
        <v>61</v>
      </c>
      <c r="Z3" s="12" t="s">
        <v>29</v>
      </c>
      <c r="AA3" s="13" t="s">
        <v>44</v>
      </c>
      <c r="AB3" s="13" t="s">
        <v>45</v>
      </c>
      <c r="AC3" s="13" t="s">
        <v>46</v>
      </c>
      <c r="AD3" s="1"/>
    </row>
    <row r="4" spans="1:30" s="15" customFormat="1" x14ac:dyDescent="0.2">
      <c r="A4" s="16" t="s">
        <v>12</v>
      </c>
      <c r="B4" s="16">
        <v>7.0209999999999999</v>
      </c>
      <c r="C4" s="16">
        <v>1.4790000000000001</v>
      </c>
      <c r="D4" s="16">
        <v>6.95</v>
      </c>
      <c r="E4" s="16">
        <v>1.591</v>
      </c>
      <c r="F4" s="16">
        <v>7.2270000000000003</v>
      </c>
      <c r="G4" s="16">
        <v>1.5980000000000001</v>
      </c>
      <c r="H4" s="16">
        <v>6.9710000000000001</v>
      </c>
      <c r="I4" s="16">
        <v>1.8580000000000001</v>
      </c>
      <c r="J4" s="16">
        <v>7.4610000000000003</v>
      </c>
      <c r="K4" s="16">
        <v>1.869</v>
      </c>
      <c r="L4" s="16">
        <v>7.0739999999999998</v>
      </c>
      <c r="M4" s="16">
        <v>2.5510000000000002</v>
      </c>
      <c r="N4" s="16">
        <v>7.8209999999999997</v>
      </c>
      <c r="O4" s="16">
        <v>2.5640000000000001</v>
      </c>
      <c r="P4">
        <v>7.1669999999999998</v>
      </c>
      <c r="Q4">
        <v>3.42</v>
      </c>
      <c r="R4">
        <v>8.0749999999999993</v>
      </c>
      <c r="S4">
        <v>3.431</v>
      </c>
      <c r="T4">
        <v>7.3360000000000003</v>
      </c>
      <c r="U4">
        <v>5.7270000000000003</v>
      </c>
      <c r="V4">
        <v>8.4499999999999993</v>
      </c>
      <c r="W4">
        <v>5.7839999999999998</v>
      </c>
      <c r="Z4" s="12" t="s">
        <v>12</v>
      </c>
      <c r="AA4" s="14">
        <v>7.0699999999999999E-3</v>
      </c>
      <c r="AB4" s="14">
        <v>-1.298E-2</v>
      </c>
      <c r="AC4" s="13">
        <v>0.9758</v>
      </c>
    </row>
    <row r="5" spans="1:30" s="15" customFormat="1" x14ac:dyDescent="0.2">
      <c r="A5" s="16" t="s">
        <v>13</v>
      </c>
      <c r="B5" s="16">
        <v>6.9950000000000001</v>
      </c>
      <c r="C5" s="16">
        <v>0.94499999999999995</v>
      </c>
      <c r="D5" s="16">
        <v>6.9029999999999996</v>
      </c>
      <c r="E5" s="16">
        <v>1.0149999999999999</v>
      </c>
      <c r="F5" s="16">
        <v>7.2380000000000004</v>
      </c>
      <c r="G5" s="16">
        <v>1.022</v>
      </c>
      <c r="H5" s="16">
        <v>6.9240000000000004</v>
      </c>
      <c r="I5" s="16">
        <v>1.1830000000000001</v>
      </c>
      <c r="J5" s="16">
        <v>7.5119999999999996</v>
      </c>
      <c r="K5" s="16">
        <v>1.1930000000000001</v>
      </c>
      <c r="L5" s="16">
        <v>7.0309999999999997</v>
      </c>
      <c r="M5" s="16">
        <v>1.6160000000000001</v>
      </c>
      <c r="N5" s="16">
        <v>7.9160000000000004</v>
      </c>
      <c r="O5" s="16">
        <v>1.631</v>
      </c>
      <c r="P5">
        <v>7.1310000000000002</v>
      </c>
      <c r="Q5">
        <v>2.1549999999999998</v>
      </c>
      <c r="R5">
        <v>8.1969999999999992</v>
      </c>
      <c r="S5">
        <v>2.1739999999999999</v>
      </c>
      <c r="T5">
        <v>7.3120000000000003</v>
      </c>
      <c r="U5">
        <v>3.6560000000000001</v>
      </c>
      <c r="V5">
        <v>8.6210000000000004</v>
      </c>
      <c r="W5">
        <v>3.6930000000000001</v>
      </c>
      <c r="Z5" s="12" t="s">
        <v>13</v>
      </c>
      <c r="AA5" s="14">
        <v>5.8399999999999997E-3</v>
      </c>
      <c r="AB5" s="14">
        <v>-1.453E-2</v>
      </c>
      <c r="AC5" s="13">
        <v>0.97540000000000004</v>
      </c>
    </row>
    <row r="6" spans="1:30" s="15" customFormat="1" x14ac:dyDescent="0.2">
      <c r="A6" s="16" t="s">
        <v>14</v>
      </c>
      <c r="B6" s="16">
        <v>7.2770000000000001</v>
      </c>
      <c r="C6" s="16">
        <v>0.77500000000000002</v>
      </c>
      <c r="D6" s="16">
        <v>7.194</v>
      </c>
      <c r="E6" s="16">
        <v>0.83099999999999996</v>
      </c>
      <c r="F6" s="16">
        <v>7.5039999999999996</v>
      </c>
      <c r="G6" s="16">
        <v>0.83799999999999997</v>
      </c>
      <c r="H6" s="16">
        <v>7.2190000000000003</v>
      </c>
      <c r="I6" s="16">
        <v>0.96799999999999997</v>
      </c>
      <c r="J6" s="16">
        <v>7.7649999999999997</v>
      </c>
      <c r="K6" s="16">
        <v>0.97899999999999998</v>
      </c>
      <c r="L6" s="16">
        <v>7.32</v>
      </c>
      <c r="M6" s="16">
        <v>1.321</v>
      </c>
      <c r="N6" s="16">
        <v>8.14</v>
      </c>
      <c r="O6" s="16">
        <v>1.337</v>
      </c>
      <c r="P6">
        <v>7.4160000000000004</v>
      </c>
      <c r="Q6">
        <v>1.7589999999999999</v>
      </c>
      <c r="R6">
        <v>8.4049999999999994</v>
      </c>
      <c r="S6">
        <v>1.78</v>
      </c>
      <c r="T6">
        <v>7.5919999999999996</v>
      </c>
      <c r="U6">
        <v>2.9889999999999999</v>
      </c>
      <c r="V6">
        <v>8.8059999999999992</v>
      </c>
      <c r="W6">
        <v>3.0270000000000001</v>
      </c>
      <c r="Z6" s="12" t="s">
        <v>14</v>
      </c>
      <c r="AA6" s="14">
        <v>7.1199999999999996E-3</v>
      </c>
      <c r="AB6" s="14">
        <v>-1.332E-2</v>
      </c>
      <c r="AC6" s="13">
        <v>0.97499999999999998</v>
      </c>
    </row>
    <row r="7" spans="1:30" s="15" customFormat="1" x14ac:dyDescent="0.2">
      <c r="A7" s="16" t="s">
        <v>15</v>
      </c>
      <c r="B7" s="16">
        <v>7.5439999999999996</v>
      </c>
      <c r="C7" s="16">
        <v>0.6</v>
      </c>
      <c r="D7" s="16">
        <v>7.4720000000000004</v>
      </c>
      <c r="E7" s="16">
        <v>0.64300000000000002</v>
      </c>
      <c r="F7" s="16">
        <v>7.7770000000000001</v>
      </c>
      <c r="G7" s="16">
        <v>0.65</v>
      </c>
      <c r="H7" s="16">
        <v>7.5170000000000003</v>
      </c>
      <c r="I7" s="16">
        <v>0.748</v>
      </c>
      <c r="J7" s="16">
        <v>8.0519999999999996</v>
      </c>
      <c r="K7" s="16">
        <v>0.75900000000000001</v>
      </c>
      <c r="L7" s="16">
        <v>7.6630000000000003</v>
      </c>
      <c r="M7" s="16">
        <v>1.02</v>
      </c>
      <c r="N7" s="16">
        <v>8.4860000000000007</v>
      </c>
      <c r="O7" s="16">
        <v>1.036</v>
      </c>
      <c r="P7">
        <v>7.798</v>
      </c>
      <c r="Q7">
        <v>1.357</v>
      </c>
      <c r="R7">
        <v>8.7919999999999998</v>
      </c>
      <c r="S7">
        <v>1.379</v>
      </c>
      <c r="T7">
        <v>8.0299999999999994</v>
      </c>
      <c r="U7">
        <v>2.3069999999999999</v>
      </c>
      <c r="V7">
        <v>9.2520000000000007</v>
      </c>
      <c r="W7">
        <v>2.3460000000000001</v>
      </c>
      <c r="Z7" s="12" t="s">
        <v>15</v>
      </c>
      <c r="AA7" s="14">
        <v>8.6700000000000006E-3</v>
      </c>
      <c r="AB7" s="14">
        <v>-1.225E-2</v>
      </c>
      <c r="AC7" s="13">
        <v>0.97430000000000005</v>
      </c>
    </row>
    <row r="8" spans="1:30" s="15" customFormat="1" x14ac:dyDescent="0.2">
      <c r="A8" s="16" t="s">
        <v>16</v>
      </c>
      <c r="B8" s="16">
        <v>7.1520000000000001</v>
      </c>
      <c r="C8" s="16">
        <v>0.55000000000000004</v>
      </c>
      <c r="D8" s="16">
        <v>7.077</v>
      </c>
      <c r="E8" s="16">
        <v>0.58799999999999997</v>
      </c>
      <c r="F8" s="16">
        <v>7.4029999999999996</v>
      </c>
      <c r="G8" s="16">
        <v>0.59699999999999998</v>
      </c>
      <c r="H8" s="16">
        <v>7.1390000000000002</v>
      </c>
      <c r="I8" s="16">
        <v>0.68400000000000005</v>
      </c>
      <c r="J8" s="16">
        <v>7.7119999999999997</v>
      </c>
      <c r="K8" s="16">
        <v>0.69699999999999995</v>
      </c>
      <c r="L8" s="16">
        <v>7.3129999999999997</v>
      </c>
      <c r="M8" s="16">
        <v>0.93200000000000005</v>
      </c>
      <c r="N8" s="16">
        <v>8.1880000000000006</v>
      </c>
      <c r="O8" s="16">
        <v>0.95199999999999996</v>
      </c>
      <c r="P8">
        <v>7.4720000000000004</v>
      </c>
      <c r="Q8">
        <v>1.2390000000000001</v>
      </c>
      <c r="R8">
        <v>8.5250000000000004</v>
      </c>
      <c r="S8">
        <v>1.2669999999999999</v>
      </c>
      <c r="T8">
        <v>7.7430000000000003</v>
      </c>
      <c r="U8">
        <v>2.1059999999999999</v>
      </c>
      <c r="V8">
        <v>9.0380000000000003</v>
      </c>
      <c r="W8">
        <v>2.1549999999999998</v>
      </c>
      <c r="Z8" s="12" t="s">
        <v>16</v>
      </c>
      <c r="AA8" s="14">
        <v>1.0019999999999999E-2</v>
      </c>
      <c r="AB8" s="14">
        <v>-1.2749999999999999E-2</v>
      </c>
      <c r="AC8" s="13">
        <v>0.97230000000000005</v>
      </c>
    </row>
    <row r="9" spans="1:30" s="15" customFormat="1" x14ac:dyDescent="0.2">
      <c r="A9" s="16" t="s">
        <v>17</v>
      </c>
      <c r="B9" s="16">
        <v>7.1790000000000003</v>
      </c>
      <c r="C9" s="16">
        <v>0.57499999999999996</v>
      </c>
      <c r="D9" s="16">
        <v>7.101</v>
      </c>
      <c r="E9" s="16">
        <v>0.61299999999999999</v>
      </c>
      <c r="F9" s="16">
        <v>7.4580000000000002</v>
      </c>
      <c r="G9" s="16">
        <v>0.624</v>
      </c>
      <c r="H9" s="16">
        <v>7.1779999999999999</v>
      </c>
      <c r="I9" s="16">
        <v>0.71299999999999997</v>
      </c>
      <c r="J9" s="16">
        <v>7.806</v>
      </c>
      <c r="K9" s="16">
        <v>0.73</v>
      </c>
      <c r="L9" s="16">
        <v>7.4130000000000003</v>
      </c>
      <c r="M9" s="16">
        <v>0.97099999999999997</v>
      </c>
      <c r="N9" s="16">
        <v>8.3559999999999999</v>
      </c>
      <c r="O9" s="16">
        <v>0.997</v>
      </c>
      <c r="P9">
        <v>7.625</v>
      </c>
      <c r="Q9">
        <v>1.29</v>
      </c>
      <c r="R9">
        <v>8.7449999999999992</v>
      </c>
      <c r="S9">
        <v>1.327</v>
      </c>
      <c r="T9">
        <v>7.968</v>
      </c>
      <c r="U9">
        <v>2.1930000000000001</v>
      </c>
      <c r="V9">
        <v>9.343</v>
      </c>
      <c r="W9">
        <v>2.258</v>
      </c>
      <c r="Z9" s="12" t="s">
        <v>17</v>
      </c>
      <c r="AA9" s="14">
        <v>1.023E-2</v>
      </c>
      <c r="AB9" s="14">
        <v>-1.247E-2</v>
      </c>
      <c r="AC9" s="13">
        <v>0.97030000000000005</v>
      </c>
    </row>
    <row r="10" spans="1:30" s="15" customFormat="1" x14ac:dyDescent="0.2">
      <c r="A10" s="16" t="s">
        <v>18</v>
      </c>
      <c r="B10" s="16">
        <v>7.3339999999999996</v>
      </c>
      <c r="C10" s="16">
        <v>0.56499999999999995</v>
      </c>
      <c r="D10" s="16">
        <v>7.2560000000000002</v>
      </c>
      <c r="E10" s="16">
        <v>0.60099999999999998</v>
      </c>
      <c r="F10" s="16">
        <v>7.6210000000000004</v>
      </c>
      <c r="G10" s="16">
        <v>0.61399999999999999</v>
      </c>
      <c r="H10" s="16">
        <v>7.3449999999999998</v>
      </c>
      <c r="I10" s="16">
        <v>0.69799999999999995</v>
      </c>
      <c r="J10" s="16">
        <v>7.9779999999999998</v>
      </c>
      <c r="K10" s="16">
        <v>0.71799999999999997</v>
      </c>
      <c r="L10" s="16">
        <v>7.5919999999999996</v>
      </c>
      <c r="M10" s="16">
        <v>0.95099999999999996</v>
      </c>
      <c r="N10" s="16">
        <v>8.5470000000000006</v>
      </c>
      <c r="O10" s="16">
        <v>0.98099999999999998</v>
      </c>
      <c r="P10">
        <v>7.8120000000000003</v>
      </c>
      <c r="Q10">
        <v>1.2629999999999999</v>
      </c>
      <c r="R10">
        <v>8.952</v>
      </c>
      <c r="S10">
        <v>1.306</v>
      </c>
      <c r="T10">
        <v>8.1750000000000007</v>
      </c>
      <c r="U10">
        <v>2.1480000000000001</v>
      </c>
      <c r="V10">
        <v>9.5739999999999998</v>
      </c>
      <c r="W10">
        <v>2.2229999999999999</v>
      </c>
      <c r="Z10" s="12" t="s">
        <v>18</v>
      </c>
      <c r="AA10" s="14">
        <v>1.065E-2</v>
      </c>
      <c r="AB10" s="14">
        <v>-1.1939999999999999E-2</v>
      </c>
      <c r="AC10" s="13">
        <v>0.96860000000000002</v>
      </c>
    </row>
    <row r="11" spans="1:30" s="15" customFormat="1" x14ac:dyDescent="0.2">
      <c r="A11" s="16" t="s">
        <v>47</v>
      </c>
      <c r="B11" s="16">
        <v>7.4359999999999999</v>
      </c>
      <c r="C11" s="16">
        <v>0.56799999999999995</v>
      </c>
      <c r="D11" s="16">
        <v>7.3609999999999998</v>
      </c>
      <c r="E11" s="16">
        <v>0.60299999999999998</v>
      </c>
      <c r="F11" s="16">
        <v>7.734</v>
      </c>
      <c r="G11" s="16">
        <v>0.61699999999999999</v>
      </c>
      <c r="H11" s="16">
        <v>7.4580000000000002</v>
      </c>
      <c r="I11" s="16">
        <v>0.7</v>
      </c>
      <c r="J11" s="16">
        <v>8.1110000000000007</v>
      </c>
      <c r="K11" s="16">
        <v>0.72199999999999998</v>
      </c>
      <c r="L11" s="16">
        <v>7.734</v>
      </c>
      <c r="M11" s="16">
        <v>0.95199999999999996</v>
      </c>
      <c r="N11" s="16">
        <v>8.7309999999999999</v>
      </c>
      <c r="O11" s="16">
        <v>0.98799999999999999</v>
      </c>
      <c r="P11">
        <v>7.9870000000000001</v>
      </c>
      <c r="Q11">
        <v>1.2649999999999999</v>
      </c>
      <c r="R11">
        <v>9.1999999999999993</v>
      </c>
      <c r="S11">
        <v>1.3140000000000001</v>
      </c>
      <c r="T11">
        <v>8.3940000000000001</v>
      </c>
      <c r="U11">
        <v>2.15</v>
      </c>
      <c r="V11">
        <v>9.86</v>
      </c>
      <c r="W11">
        <v>2.2370000000000001</v>
      </c>
      <c r="Z11" s="12" t="s">
        <v>19</v>
      </c>
      <c r="AA11" s="14">
        <v>1.116E-2</v>
      </c>
      <c r="AB11" s="14">
        <v>-1.2200000000000001E-2</v>
      </c>
      <c r="AC11" s="13">
        <v>0.96450000000000002</v>
      </c>
    </row>
    <row r="12" spans="1:30" s="15" customFormat="1" x14ac:dyDescent="0.2">
      <c r="A12" s="16" t="s">
        <v>19</v>
      </c>
      <c r="B12" s="16">
        <v>7.4989999999999997</v>
      </c>
      <c r="C12" s="16">
        <v>0.57499999999999996</v>
      </c>
      <c r="D12" s="16">
        <v>7.4219999999999997</v>
      </c>
      <c r="E12" s="16">
        <v>0.61</v>
      </c>
      <c r="F12" s="16">
        <v>7.8049999999999997</v>
      </c>
      <c r="G12" s="16">
        <v>0.626</v>
      </c>
      <c r="H12" s="16">
        <v>7.5259999999999998</v>
      </c>
      <c r="I12" s="16">
        <v>0.70699999999999996</v>
      </c>
      <c r="J12" s="16">
        <v>8.2010000000000005</v>
      </c>
      <c r="K12" s="16">
        <v>0.73299999999999998</v>
      </c>
      <c r="L12" s="16">
        <v>7.827</v>
      </c>
      <c r="M12" s="16">
        <v>0.96199999999999997</v>
      </c>
      <c r="N12" s="16">
        <v>8.8550000000000004</v>
      </c>
      <c r="O12" s="16">
        <v>1.002</v>
      </c>
      <c r="P12">
        <v>8.0939999999999994</v>
      </c>
      <c r="Q12">
        <v>1.2769999999999999</v>
      </c>
      <c r="R12">
        <v>9.3239999999999998</v>
      </c>
      <c r="S12">
        <v>1.333</v>
      </c>
      <c r="T12">
        <v>8.5289999999999999</v>
      </c>
      <c r="U12">
        <v>2.1709999999999998</v>
      </c>
      <c r="V12">
        <v>10.035</v>
      </c>
      <c r="W12">
        <v>2.2690000000000001</v>
      </c>
      <c r="Z12" s="12" t="s">
        <v>20</v>
      </c>
      <c r="AA12" s="14">
        <v>1.166E-2</v>
      </c>
      <c r="AB12" s="14">
        <v>-1.242E-2</v>
      </c>
      <c r="AC12" s="13">
        <v>0.95820000000000005</v>
      </c>
    </row>
    <row r="13" spans="1:30" s="15" customFormat="1" x14ac:dyDescent="0.2">
      <c r="A13" s="16" t="s">
        <v>20</v>
      </c>
      <c r="B13" s="16">
        <v>7.726</v>
      </c>
      <c r="C13" s="16">
        <v>0.55000000000000004</v>
      </c>
      <c r="D13" s="16">
        <v>7.6459999999999999</v>
      </c>
      <c r="E13" s="16">
        <v>0.57999999999999996</v>
      </c>
      <c r="F13" s="16">
        <v>8.0559999999999992</v>
      </c>
      <c r="G13" s="16">
        <v>0.6</v>
      </c>
      <c r="H13" s="16">
        <v>7.7690000000000001</v>
      </c>
      <c r="I13" s="16">
        <v>0.67200000000000004</v>
      </c>
      <c r="J13" s="16">
        <v>8.4969999999999999</v>
      </c>
      <c r="K13" s="16">
        <v>0.70199999999999996</v>
      </c>
      <c r="L13" s="16">
        <v>8.11</v>
      </c>
      <c r="M13" s="16">
        <v>0.91200000000000003</v>
      </c>
      <c r="N13" s="16">
        <v>9.2319999999999993</v>
      </c>
      <c r="O13" s="16">
        <v>0.96099999999999997</v>
      </c>
      <c r="P13">
        <v>8.4109999999999996</v>
      </c>
      <c r="Q13">
        <v>1.2110000000000001</v>
      </c>
      <c r="R13">
        <v>9.7710000000000008</v>
      </c>
      <c r="S13">
        <v>1.2789999999999999</v>
      </c>
      <c r="T13">
        <v>8.9120000000000008</v>
      </c>
      <c r="U13">
        <v>2.0569999999999999</v>
      </c>
      <c r="V13">
        <v>10.571</v>
      </c>
      <c r="W13">
        <v>2.1779999999999999</v>
      </c>
      <c r="Z13" s="12" t="s">
        <v>21</v>
      </c>
      <c r="AA13" s="14">
        <v>1.197E-2</v>
      </c>
      <c r="AB13" s="14">
        <v>-1.2370000000000001E-2</v>
      </c>
      <c r="AC13" s="13">
        <v>0.95209999999999995</v>
      </c>
    </row>
    <row r="14" spans="1:30" x14ac:dyDescent="0.2">
      <c r="A14" s="16" t="s">
        <v>21</v>
      </c>
      <c r="B14" s="16">
        <v>7.9080000000000004</v>
      </c>
      <c r="C14" s="16">
        <v>0.54500000000000004</v>
      </c>
      <c r="D14" s="16">
        <v>7.8280000000000003</v>
      </c>
      <c r="E14" s="16">
        <v>0.57499999999999996</v>
      </c>
      <c r="F14" s="16">
        <v>8.2430000000000003</v>
      </c>
      <c r="G14" s="16">
        <v>0.59799999999999998</v>
      </c>
      <c r="H14" s="16">
        <v>7.9740000000000002</v>
      </c>
      <c r="I14" s="16">
        <v>0.66600000000000004</v>
      </c>
      <c r="J14" s="16">
        <v>8.7070000000000007</v>
      </c>
      <c r="K14" s="16">
        <v>0.70199999999999996</v>
      </c>
      <c r="L14" s="16">
        <v>8.3580000000000005</v>
      </c>
      <c r="M14" s="16">
        <v>0.90400000000000003</v>
      </c>
      <c r="N14" s="16">
        <v>9.4979999999999993</v>
      </c>
      <c r="O14" s="16">
        <v>0.96199999999999997</v>
      </c>
      <c r="P14">
        <v>8.702</v>
      </c>
      <c r="Q14">
        <v>1.2010000000000001</v>
      </c>
      <c r="R14">
        <v>10.084</v>
      </c>
      <c r="S14">
        <v>1.282</v>
      </c>
      <c r="T14">
        <v>9.2569999999999997</v>
      </c>
      <c r="U14">
        <v>2.0409999999999999</v>
      </c>
      <c r="V14">
        <v>10.935</v>
      </c>
      <c r="W14">
        <v>2.1850000000000001</v>
      </c>
      <c r="Z14" s="12" t="s">
        <v>22</v>
      </c>
      <c r="AA14" s="14">
        <v>1.2840000000000001E-2</v>
      </c>
      <c r="AB14" s="14">
        <v>-1.227E-2</v>
      </c>
      <c r="AC14" s="13">
        <v>0.93940000000000001</v>
      </c>
      <c r="AD14" s="1"/>
    </row>
    <row r="15" spans="1:30" x14ac:dyDescent="0.2">
      <c r="A15" s="16" t="s">
        <v>22</v>
      </c>
      <c r="B15" s="16">
        <v>8.0749999999999993</v>
      </c>
      <c r="C15" s="16">
        <v>0.6</v>
      </c>
      <c r="D15" s="16">
        <v>7.9779999999999998</v>
      </c>
      <c r="E15" s="16">
        <v>0.629</v>
      </c>
      <c r="F15" s="16">
        <v>8.4429999999999996</v>
      </c>
      <c r="G15" s="16">
        <v>0.66100000000000003</v>
      </c>
      <c r="H15" s="16">
        <v>8.1189999999999998</v>
      </c>
      <c r="I15" s="16">
        <v>0.72699999999999998</v>
      </c>
      <c r="J15" s="16">
        <v>8.9220000000000006</v>
      </c>
      <c r="K15" s="16">
        <v>0.77700000000000002</v>
      </c>
      <c r="L15" s="16">
        <v>8.4939999999999998</v>
      </c>
      <c r="M15" s="16">
        <v>0.98699999999999999</v>
      </c>
      <c r="N15" s="16">
        <v>9.7219999999999995</v>
      </c>
      <c r="O15" s="16">
        <v>1.0660000000000001</v>
      </c>
      <c r="P15">
        <v>8.8219999999999992</v>
      </c>
      <c r="Q15">
        <v>1.3109999999999999</v>
      </c>
      <c r="R15">
        <v>10.314</v>
      </c>
      <c r="S15">
        <v>1.421</v>
      </c>
      <c r="T15">
        <v>9.3710000000000004</v>
      </c>
      <c r="U15">
        <v>2.2269999999999999</v>
      </c>
      <c r="V15">
        <v>11.186</v>
      </c>
      <c r="W15">
        <v>2.4249999999999998</v>
      </c>
      <c r="AD15" s="1"/>
    </row>
    <row r="16" spans="1:30" x14ac:dyDescent="0.2">
      <c r="A16" s="16" t="s">
        <v>23</v>
      </c>
      <c r="B16" s="16">
        <v>8.1630000000000003</v>
      </c>
      <c r="C16" s="16">
        <v>0.64500000000000002</v>
      </c>
      <c r="D16" s="16">
        <v>8.0399999999999991</v>
      </c>
      <c r="E16" s="16">
        <v>0.67200000000000004</v>
      </c>
      <c r="F16" s="16">
        <v>8.5449999999999999</v>
      </c>
      <c r="G16" s="16">
        <v>0.71199999999999997</v>
      </c>
      <c r="H16" s="16">
        <v>8.1790000000000003</v>
      </c>
      <c r="I16" s="16">
        <v>0.77700000000000002</v>
      </c>
      <c r="J16" s="16">
        <v>9.0519999999999996</v>
      </c>
      <c r="K16" s="16">
        <v>0.83899999999999997</v>
      </c>
      <c r="L16" s="16">
        <v>8.5719999999999992</v>
      </c>
      <c r="M16" s="16">
        <v>1.0529999999999999</v>
      </c>
      <c r="N16" s="16">
        <v>9.9090000000000007</v>
      </c>
      <c r="O16" s="16">
        <v>1.153</v>
      </c>
      <c r="P16">
        <v>8.9179999999999993</v>
      </c>
      <c r="Q16">
        <v>1.3979999999999999</v>
      </c>
      <c r="R16">
        <v>10.548</v>
      </c>
      <c r="S16">
        <v>1.538</v>
      </c>
      <c r="T16">
        <v>9.4930000000000003</v>
      </c>
      <c r="U16">
        <v>2.3740000000000001</v>
      </c>
      <c r="V16">
        <v>11.471</v>
      </c>
      <c r="W16">
        <v>2.6259999999999999</v>
      </c>
    </row>
    <row r="17" spans="1:23" x14ac:dyDescent="0.2">
      <c r="A17" s="16" t="s">
        <v>24</v>
      </c>
      <c r="B17" s="16">
        <v>8.5250000000000004</v>
      </c>
      <c r="C17" s="16">
        <v>0.8</v>
      </c>
      <c r="D17" s="16">
        <v>8.36</v>
      </c>
      <c r="E17" s="16">
        <v>0.82499999999999996</v>
      </c>
      <c r="F17" s="16">
        <v>8.9350000000000005</v>
      </c>
      <c r="G17" s="16">
        <v>0.88800000000000001</v>
      </c>
      <c r="H17" s="16">
        <v>8.468</v>
      </c>
      <c r="I17" s="16">
        <v>0.95</v>
      </c>
      <c r="J17" s="16">
        <v>9.4529999999999994</v>
      </c>
      <c r="K17" s="16">
        <v>1.0489999999999999</v>
      </c>
      <c r="L17" s="16">
        <v>8.8130000000000006</v>
      </c>
      <c r="M17" s="16">
        <v>1.288</v>
      </c>
      <c r="N17" s="16">
        <v>10.298</v>
      </c>
      <c r="O17" s="16">
        <v>1.4450000000000001</v>
      </c>
      <c r="P17">
        <v>9.1199999999999992</v>
      </c>
      <c r="Q17">
        <v>1.7110000000000001</v>
      </c>
      <c r="R17">
        <v>10.92</v>
      </c>
      <c r="S17">
        <v>1.929</v>
      </c>
      <c r="T17">
        <v>9.6440000000000001</v>
      </c>
      <c r="U17">
        <v>2.9020000000000001</v>
      </c>
      <c r="V17">
        <v>11.843</v>
      </c>
      <c r="W17">
        <v>3.2959999999999998</v>
      </c>
    </row>
    <row r="18" spans="1:23" x14ac:dyDescent="0.2">
      <c r="A18" s="16" t="s">
        <v>25</v>
      </c>
      <c r="B18" s="16">
        <v>8.6850000000000005</v>
      </c>
      <c r="C18" s="16">
        <v>0.89</v>
      </c>
      <c r="D18" s="16">
        <v>8.5</v>
      </c>
      <c r="E18" s="16">
        <v>0.91</v>
      </c>
      <c r="F18" s="16">
        <v>9.09</v>
      </c>
      <c r="G18" s="16">
        <v>0.99199999999999999</v>
      </c>
      <c r="H18" s="16">
        <v>8.61</v>
      </c>
      <c r="I18" s="16">
        <v>1.0449999999999999</v>
      </c>
      <c r="J18" s="16">
        <v>9.61</v>
      </c>
      <c r="K18" s="16">
        <v>1.173</v>
      </c>
      <c r="L18" s="16">
        <v>8.9529999999999994</v>
      </c>
      <c r="M18" s="16">
        <v>1.415</v>
      </c>
      <c r="N18" s="16">
        <v>10.468</v>
      </c>
      <c r="O18" s="16">
        <v>1.619</v>
      </c>
      <c r="P18">
        <v>9.2590000000000003</v>
      </c>
      <c r="Q18">
        <v>1.879</v>
      </c>
      <c r="R18">
        <v>11.101000000000001</v>
      </c>
      <c r="S18">
        <v>2.1640000000000001</v>
      </c>
      <c r="T18">
        <v>9.7850000000000001</v>
      </c>
      <c r="U18">
        <v>3.1850000000000001</v>
      </c>
      <c r="V18">
        <v>12.042</v>
      </c>
      <c r="W18">
        <v>3.702</v>
      </c>
    </row>
    <row r="19" spans="1:23" x14ac:dyDescent="0.2">
      <c r="A19" s="16" t="s">
        <v>26</v>
      </c>
      <c r="B19" s="16">
        <v>8.7850000000000001</v>
      </c>
      <c r="C19" s="16">
        <v>0.95</v>
      </c>
      <c r="D19" s="16">
        <v>8.59</v>
      </c>
      <c r="E19" s="16">
        <v>0.96299999999999997</v>
      </c>
      <c r="F19" s="16">
        <v>9.19</v>
      </c>
      <c r="G19" s="16">
        <v>1.0609999999999999</v>
      </c>
      <c r="H19" s="16">
        <v>8.6989999999999998</v>
      </c>
      <c r="I19" s="16">
        <v>1.1040000000000001</v>
      </c>
      <c r="J19" s="16">
        <v>9.7110000000000003</v>
      </c>
      <c r="K19" s="16">
        <v>1.258</v>
      </c>
      <c r="L19" s="16">
        <v>9.0459999999999994</v>
      </c>
      <c r="M19" s="16">
        <v>1.4930000000000001</v>
      </c>
      <c r="N19" s="16">
        <v>10.579000000000001</v>
      </c>
      <c r="O19" s="16">
        <v>1.7390000000000001</v>
      </c>
      <c r="P19">
        <v>9.3580000000000005</v>
      </c>
      <c r="Q19">
        <v>1.982</v>
      </c>
      <c r="R19">
        <v>11.223000000000001</v>
      </c>
      <c r="S19">
        <v>2.3260000000000001</v>
      </c>
      <c r="T19">
        <v>9.8940000000000001</v>
      </c>
      <c r="U19">
        <v>3.3570000000000002</v>
      </c>
      <c r="V19">
        <v>12.180999999999999</v>
      </c>
      <c r="W19">
        <v>3.9830000000000001</v>
      </c>
    </row>
    <row r="20" spans="1:23" x14ac:dyDescent="0.2">
      <c r="A20" s="16" t="s">
        <v>62</v>
      </c>
      <c r="B20" s="16">
        <v>8.6959999999999997</v>
      </c>
      <c r="C20" s="16">
        <v>0.82599999999999996</v>
      </c>
      <c r="D20" s="16">
        <v>8.4819999999999993</v>
      </c>
      <c r="E20" s="16">
        <v>0.83199999999999996</v>
      </c>
      <c r="F20" s="16">
        <v>9.07</v>
      </c>
      <c r="G20" s="16">
        <v>0.92400000000000004</v>
      </c>
      <c r="H20" s="16">
        <v>8.5549999999999997</v>
      </c>
      <c r="I20" s="16">
        <v>0.95199999999999996</v>
      </c>
      <c r="J20" s="16">
        <v>9.5449999999999999</v>
      </c>
      <c r="K20" s="16">
        <v>1.0960000000000001</v>
      </c>
      <c r="L20" s="16">
        <v>8.8379999999999992</v>
      </c>
      <c r="M20" s="16">
        <v>1.2869999999999999</v>
      </c>
      <c r="N20" s="16">
        <v>10.36</v>
      </c>
      <c r="O20" s="16">
        <v>1.516</v>
      </c>
      <c r="P20">
        <v>9.1150000000000002</v>
      </c>
      <c r="Q20">
        <v>1.708</v>
      </c>
      <c r="R20">
        <v>11.000999999999999</v>
      </c>
      <c r="S20">
        <v>2.028</v>
      </c>
      <c r="T20">
        <v>9.5820000000000007</v>
      </c>
      <c r="U20">
        <v>2.8959999999999999</v>
      </c>
      <c r="V20">
        <v>11.903</v>
      </c>
      <c r="W20">
        <v>3.472</v>
      </c>
    </row>
    <row r="21" spans="1:23" x14ac:dyDescent="0.2">
      <c r="A21" s="16" t="s">
        <v>27</v>
      </c>
      <c r="B21" s="16">
        <v>8.6329999999999991</v>
      </c>
      <c r="C21" s="16">
        <v>0.72499999999999998</v>
      </c>
      <c r="D21" s="16">
        <v>8.4039999999999999</v>
      </c>
      <c r="E21" s="16">
        <v>0.72599999999999998</v>
      </c>
      <c r="F21" s="16">
        <v>8.9809999999999999</v>
      </c>
      <c r="G21" s="16">
        <v>0.81200000000000006</v>
      </c>
      <c r="H21" s="16">
        <v>8.4499999999999993</v>
      </c>
      <c r="I21" s="16">
        <v>0.82899999999999996</v>
      </c>
      <c r="J21" s="16">
        <v>9.4250000000000007</v>
      </c>
      <c r="K21" s="16">
        <v>0.96399999999999997</v>
      </c>
      <c r="L21" s="16">
        <v>8.6910000000000007</v>
      </c>
      <c r="M21" s="16">
        <v>1.121</v>
      </c>
      <c r="N21" s="16">
        <v>10.212</v>
      </c>
      <c r="O21" s="16">
        <v>1.333</v>
      </c>
      <c r="P21">
        <v>8.9410000000000007</v>
      </c>
      <c r="Q21">
        <v>1.4870000000000001</v>
      </c>
      <c r="R21">
        <v>10.839</v>
      </c>
      <c r="S21">
        <v>1.784</v>
      </c>
      <c r="T21">
        <v>9.3569999999999993</v>
      </c>
      <c r="U21">
        <v>2.5230000000000001</v>
      </c>
      <c r="V21">
        <v>11.7</v>
      </c>
      <c r="W21">
        <v>3.0539999999999998</v>
      </c>
    </row>
    <row r="22" spans="1:23" x14ac:dyDescent="0.2">
      <c r="A22" s="16" t="s">
        <v>28</v>
      </c>
      <c r="B22" s="16">
        <v>8.9079999999999995</v>
      </c>
      <c r="C22" s="16">
        <v>0.72499999999999998</v>
      </c>
      <c r="D22" s="16">
        <v>8.6289999999999996</v>
      </c>
      <c r="E22" s="16">
        <v>0.71</v>
      </c>
      <c r="F22" s="16">
        <v>9.2360000000000007</v>
      </c>
      <c r="G22" s="16">
        <v>0.81499999999999995</v>
      </c>
      <c r="H22" s="16">
        <v>8.6300000000000008</v>
      </c>
      <c r="I22" s="16">
        <v>0.80700000000000005</v>
      </c>
      <c r="J22" s="16">
        <v>9.6549999999999994</v>
      </c>
      <c r="K22" s="16">
        <v>0.97</v>
      </c>
      <c r="L22" s="16">
        <v>8.8030000000000008</v>
      </c>
      <c r="M22" s="16">
        <v>1.0880000000000001</v>
      </c>
      <c r="N22" s="16">
        <v>10.374000000000001</v>
      </c>
      <c r="O22" s="16">
        <v>1.3440000000000001</v>
      </c>
      <c r="P22">
        <v>8.9960000000000004</v>
      </c>
      <c r="Q22">
        <v>1.444</v>
      </c>
      <c r="R22">
        <v>10.941000000000001</v>
      </c>
      <c r="S22">
        <v>1.8</v>
      </c>
      <c r="T22">
        <v>9.3279999999999994</v>
      </c>
      <c r="U22">
        <v>2.4510000000000001</v>
      </c>
      <c r="V22">
        <v>11.736000000000001</v>
      </c>
      <c r="W22">
        <v>3.0819999999999999</v>
      </c>
    </row>
    <row r="23" spans="1:23" x14ac:dyDescent="0.2">
      <c r="A23" s="16" t="s">
        <v>63</v>
      </c>
      <c r="B23" s="16">
        <v>8.9410000000000007</v>
      </c>
      <c r="C23" s="16">
        <v>0.65800000000000003</v>
      </c>
      <c r="D23" s="16">
        <v>8.6389999999999993</v>
      </c>
      <c r="E23" s="16">
        <v>0.626</v>
      </c>
      <c r="F23" s="16">
        <v>9.2409999999999997</v>
      </c>
      <c r="G23" s="16">
        <v>0.74</v>
      </c>
      <c r="H23" s="16">
        <v>8.6310000000000002</v>
      </c>
      <c r="I23" s="16">
        <v>0.70499999999999996</v>
      </c>
      <c r="J23" s="16">
        <v>9.6489999999999991</v>
      </c>
      <c r="K23" s="16">
        <v>0.88400000000000001</v>
      </c>
      <c r="L23" s="16">
        <v>8.8109999999999999</v>
      </c>
      <c r="M23" s="16">
        <v>0.94799999999999995</v>
      </c>
      <c r="N23" s="16">
        <v>10.346</v>
      </c>
      <c r="O23" s="16">
        <v>1.228</v>
      </c>
      <c r="P23">
        <v>9.01</v>
      </c>
      <c r="Q23">
        <v>1.2569999999999999</v>
      </c>
      <c r="R23">
        <v>10.898999999999999</v>
      </c>
      <c r="S23">
        <v>1.6459999999999999</v>
      </c>
      <c r="T23">
        <v>9.3469999999999995</v>
      </c>
      <c r="U23">
        <v>2.1339999999999999</v>
      </c>
      <c r="V23">
        <v>11.69</v>
      </c>
      <c r="W23">
        <v>2.823</v>
      </c>
    </row>
    <row r="24" spans="1:23" x14ac:dyDescent="0.2">
      <c r="A24" s="16" t="s">
        <v>64</v>
      </c>
      <c r="B24" s="16">
        <v>8.9689999999999994</v>
      </c>
      <c r="C24" s="16">
        <v>0.629</v>
      </c>
      <c r="D24" s="16">
        <v>8.6430000000000007</v>
      </c>
      <c r="E24" s="16">
        <v>0.58299999999999996</v>
      </c>
      <c r="F24" s="16">
        <v>9.2439999999999998</v>
      </c>
      <c r="G24" s="16">
        <v>0.70599999999999996</v>
      </c>
      <c r="H24" s="16">
        <v>8.6310000000000002</v>
      </c>
      <c r="I24" s="16">
        <v>0.65200000000000002</v>
      </c>
      <c r="J24" s="16">
        <v>9.641</v>
      </c>
      <c r="K24" s="16">
        <v>0.84599999999999997</v>
      </c>
      <c r="L24" s="16">
        <v>8.8170000000000002</v>
      </c>
      <c r="M24" s="16">
        <v>0.874</v>
      </c>
      <c r="N24" s="16">
        <v>10.32</v>
      </c>
      <c r="O24" s="16">
        <v>1.1779999999999999</v>
      </c>
      <c r="P24">
        <v>9.0210000000000008</v>
      </c>
      <c r="Q24">
        <v>1.157</v>
      </c>
      <c r="R24">
        <v>10.863</v>
      </c>
      <c r="S24">
        <v>1.581</v>
      </c>
      <c r="T24">
        <v>9.3620000000000001</v>
      </c>
      <c r="U24">
        <v>1.9650000000000001</v>
      </c>
      <c r="V24">
        <v>11.648</v>
      </c>
      <c r="W24">
        <v>2.7130000000000001</v>
      </c>
    </row>
    <row r="25" spans="1:23" x14ac:dyDescent="0.2">
      <c r="A25" s="16" t="s">
        <v>65</v>
      </c>
      <c r="B25" s="16">
        <v>8.9960000000000004</v>
      </c>
      <c r="C25" s="16">
        <v>0.61799999999999999</v>
      </c>
      <c r="D25" s="16">
        <v>8.6489999999999991</v>
      </c>
      <c r="E25" s="16">
        <v>0.55900000000000005</v>
      </c>
      <c r="F25" s="16">
        <v>9.2469999999999999</v>
      </c>
      <c r="G25" s="16">
        <v>0.69</v>
      </c>
      <c r="H25" s="16">
        <v>8.6310000000000002</v>
      </c>
      <c r="I25" s="16">
        <v>0.62</v>
      </c>
      <c r="J25" s="16">
        <v>9.6349999999999998</v>
      </c>
      <c r="K25" s="16">
        <v>0.82899999999999996</v>
      </c>
      <c r="L25" s="16">
        <v>8.8219999999999992</v>
      </c>
      <c r="M25" s="16">
        <v>0.82799999999999996</v>
      </c>
      <c r="N25" s="16">
        <v>10.298</v>
      </c>
      <c r="O25" s="16">
        <v>1.157</v>
      </c>
      <c r="P25">
        <v>9.0299999999999994</v>
      </c>
      <c r="Q25">
        <v>1.0960000000000001</v>
      </c>
      <c r="R25">
        <v>10.83</v>
      </c>
      <c r="S25">
        <v>1.554</v>
      </c>
      <c r="T25">
        <v>9.375</v>
      </c>
      <c r="U25">
        <v>1.861</v>
      </c>
      <c r="V25">
        <v>11.611000000000001</v>
      </c>
      <c r="W25">
        <v>2.67</v>
      </c>
    </row>
    <row r="26" spans="1:23" x14ac:dyDescent="0.2">
      <c r="A26" s="16" t="s">
        <v>66</v>
      </c>
      <c r="B26" s="16">
        <v>9.0210000000000008</v>
      </c>
      <c r="C26" s="16">
        <v>0.61599999999999999</v>
      </c>
      <c r="D26" s="16">
        <v>8.6549999999999994</v>
      </c>
      <c r="E26" s="16">
        <v>0.54500000000000004</v>
      </c>
      <c r="F26" s="16">
        <v>9.2479999999999993</v>
      </c>
      <c r="G26" s="16">
        <v>0.68500000000000005</v>
      </c>
      <c r="H26" s="16">
        <v>8.6300000000000008</v>
      </c>
      <c r="I26" s="16">
        <v>0.59899999999999998</v>
      </c>
      <c r="J26" s="16">
        <v>9.6280000000000001</v>
      </c>
      <c r="K26" s="16">
        <v>0.82499999999999996</v>
      </c>
      <c r="L26" s="16">
        <v>8.8260000000000005</v>
      </c>
      <c r="M26" s="16">
        <v>0.79900000000000004</v>
      </c>
      <c r="N26" s="16">
        <v>10.278</v>
      </c>
      <c r="O26" s="16">
        <v>1.1519999999999999</v>
      </c>
      <c r="P26">
        <v>9.0389999999999997</v>
      </c>
      <c r="Q26">
        <v>1.056</v>
      </c>
      <c r="R26">
        <v>10.802</v>
      </c>
      <c r="S26">
        <v>1.5489999999999999</v>
      </c>
      <c r="T26">
        <v>9.3870000000000005</v>
      </c>
      <c r="U26">
        <v>1.7929999999999999</v>
      </c>
      <c r="V26">
        <v>11.577</v>
      </c>
      <c r="W26">
        <v>2.6640000000000001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1:U47"/>
  <sheetViews>
    <sheetView workbookViewId="0">
      <selection activeCell="F12" sqref="F12"/>
    </sheetView>
  </sheetViews>
  <sheetFormatPr baseColWidth="10" defaultRowHeight="16" x14ac:dyDescent="0.2"/>
  <cols>
    <col min="1" max="1" width="12.1640625" style="1" bestFit="1" customWidth="1"/>
    <col min="2" max="12" width="13.83203125" style="1" bestFit="1" customWidth="1"/>
    <col min="13" max="13" width="10.83203125" style="1"/>
    <col min="14" max="14" width="12.1640625" style="1" bestFit="1" customWidth="1"/>
    <col min="15" max="16" width="11.33203125" style="1" bestFit="1" customWidth="1"/>
    <col min="17" max="17" width="8.83203125" style="1" bestFit="1" customWidth="1"/>
    <col min="18" max="18" width="10.83203125" style="1"/>
    <col min="19" max="19" width="9.33203125" style="1" bestFit="1" customWidth="1"/>
    <col min="20" max="20" width="7.1640625" style="1" bestFit="1" customWidth="1"/>
    <col min="21" max="16384" width="10.83203125" style="1"/>
  </cols>
  <sheetData>
    <row r="1" spans="1:21" ht="64" x14ac:dyDescent="0.2">
      <c r="A1" s="11" t="s">
        <v>35</v>
      </c>
      <c r="B1" s="1" t="s">
        <v>10</v>
      </c>
      <c r="C1" s="1" t="s">
        <v>8</v>
      </c>
      <c r="D1" s="1" t="s">
        <v>6</v>
      </c>
      <c r="E1" s="1" t="s">
        <v>4</v>
      </c>
      <c r="F1" s="1" t="s">
        <v>2</v>
      </c>
      <c r="G1" s="1" t="s">
        <v>1</v>
      </c>
      <c r="H1" s="1" t="s">
        <v>3</v>
      </c>
      <c r="I1" s="1" t="s">
        <v>5</v>
      </c>
      <c r="J1" s="1" t="s">
        <v>7</v>
      </c>
      <c r="K1" s="1" t="s">
        <v>9</v>
      </c>
      <c r="L1" s="1" t="s">
        <v>11</v>
      </c>
      <c r="N1" s="3" t="s">
        <v>32</v>
      </c>
      <c r="O1" s="3" t="s">
        <v>67</v>
      </c>
      <c r="P1" s="3" t="s">
        <v>30</v>
      </c>
      <c r="Q1" s="3" t="s">
        <v>68</v>
      </c>
      <c r="S1" s="10" t="s">
        <v>33</v>
      </c>
      <c r="T1" s="6">
        <f>S2</f>
        <v>0.97617631850674225</v>
      </c>
      <c r="U1" s="2"/>
    </row>
    <row r="2" spans="1:21" x14ac:dyDescent="0.2">
      <c r="A2" s="1" t="s">
        <v>12</v>
      </c>
      <c r="B2" s="6">
        <f>Book1!T4</f>
        <v>7.3360000000000003</v>
      </c>
      <c r="C2" s="6">
        <f>Book1!P4</f>
        <v>7.1669999999999998</v>
      </c>
      <c r="D2" s="6">
        <f>Book1!L4</f>
        <v>7.0739999999999998</v>
      </c>
      <c r="E2" s="6">
        <f>Book1!H4</f>
        <v>6.9710000000000001</v>
      </c>
      <c r="F2" s="6">
        <f>Book1!D4</f>
        <v>6.95</v>
      </c>
      <c r="G2" s="6">
        <f>Book1!B4</f>
        <v>7.0209999999999999</v>
      </c>
      <c r="H2" s="6">
        <f>Book1!F4</f>
        <v>7.2270000000000003</v>
      </c>
      <c r="I2" s="6">
        <f>Book1!J4</f>
        <v>7.4610000000000003</v>
      </c>
      <c r="J2" s="6">
        <f>Book1!N4</f>
        <v>7.8209999999999997</v>
      </c>
      <c r="K2" s="6">
        <f>Book1!R4</f>
        <v>8.0749999999999993</v>
      </c>
      <c r="L2" s="6">
        <f>Book1!V4</f>
        <v>8.4499999999999993</v>
      </c>
      <c r="N2" s="1">
        <f>1/52</f>
        <v>1.9230769230769232E-2</v>
      </c>
      <c r="O2" s="9">
        <f>Book1!AA4</f>
        <v>7.0699999999999999E-3</v>
      </c>
      <c r="P2" s="9">
        <f>Book1!AB4</f>
        <v>-1.298E-2</v>
      </c>
      <c r="Q2" s="5">
        <f>Book1!AC4</f>
        <v>0.9758</v>
      </c>
      <c r="S2" s="6">
        <f>Q2*EXP((O2-P2)*N2)</f>
        <v>0.97617631850674225</v>
      </c>
    </row>
    <row r="3" spans="1:21" x14ac:dyDescent="0.2">
      <c r="A3" s="1" t="s">
        <v>13</v>
      </c>
      <c r="B3" s="6">
        <f>Book1!T5</f>
        <v>7.3120000000000003</v>
      </c>
      <c r="C3" s="6">
        <f>Book1!P5</f>
        <v>7.1310000000000002</v>
      </c>
      <c r="D3" s="6">
        <f>Book1!L5</f>
        <v>7.0309999999999997</v>
      </c>
      <c r="E3" s="6">
        <f>Book1!H5</f>
        <v>6.9240000000000004</v>
      </c>
      <c r="F3" s="6">
        <f>Book1!D5</f>
        <v>6.9029999999999996</v>
      </c>
      <c r="G3" s="6">
        <f>Book1!B5</f>
        <v>6.9950000000000001</v>
      </c>
      <c r="H3" s="6">
        <f>Book1!F5</f>
        <v>7.2380000000000004</v>
      </c>
      <c r="I3" s="6">
        <f>Book1!J5</f>
        <v>7.5119999999999996</v>
      </c>
      <c r="J3" s="6">
        <f>Book1!N5</f>
        <v>7.9160000000000004</v>
      </c>
      <c r="K3" s="6">
        <f>Book1!R5</f>
        <v>8.1969999999999992</v>
      </c>
      <c r="L3" s="6">
        <f>Book1!V5</f>
        <v>8.6210000000000004</v>
      </c>
      <c r="N3" s="1">
        <f>2/52</f>
        <v>3.8461538461538464E-2</v>
      </c>
      <c r="O3" s="9">
        <f>Book1!AA5</f>
        <v>5.8399999999999997E-3</v>
      </c>
      <c r="P3" s="9">
        <f>Book1!AB5</f>
        <v>-1.453E-2</v>
      </c>
      <c r="Q3" s="5">
        <f>Book1!AC5</f>
        <v>0.97540000000000004</v>
      </c>
      <c r="S3" s="6">
        <f t="shared" ref="S3:S11" si="0">Q3*EXP((O3-P3)*N3)</f>
        <v>0.97616448781891263</v>
      </c>
    </row>
    <row r="4" spans="1:21" x14ac:dyDescent="0.2">
      <c r="A4" s="1" t="s">
        <v>14</v>
      </c>
      <c r="B4" s="6">
        <f>Book1!T6</f>
        <v>7.5919999999999996</v>
      </c>
      <c r="C4" s="6">
        <f>Book1!P6</f>
        <v>7.4160000000000004</v>
      </c>
      <c r="D4" s="6">
        <f>Book1!L6</f>
        <v>7.32</v>
      </c>
      <c r="E4" s="6">
        <f>Book1!H6</f>
        <v>7.2190000000000003</v>
      </c>
      <c r="F4" s="6">
        <f>Book1!D6</f>
        <v>7.194</v>
      </c>
      <c r="G4" s="6">
        <f>Book1!B6</f>
        <v>7.2770000000000001</v>
      </c>
      <c r="H4" s="6">
        <f>Book1!F6</f>
        <v>7.5039999999999996</v>
      </c>
      <c r="I4" s="6">
        <f>Book1!J6</f>
        <v>7.7649999999999997</v>
      </c>
      <c r="J4" s="6">
        <f>Book1!N6</f>
        <v>8.14</v>
      </c>
      <c r="K4" s="6">
        <f>Book1!R6</f>
        <v>8.4049999999999994</v>
      </c>
      <c r="L4" s="6">
        <f>Book1!V6</f>
        <v>8.8059999999999992</v>
      </c>
      <c r="N4" s="1">
        <f>3/52</f>
        <v>5.7692307692307696E-2</v>
      </c>
      <c r="O4" s="9">
        <f>Book1!AA6</f>
        <v>7.1199999999999996E-3</v>
      </c>
      <c r="P4" s="9">
        <f>Book1!AB6</f>
        <v>-1.332E-2</v>
      </c>
      <c r="Q4" s="5">
        <f>Book1!AC6</f>
        <v>0.97499999999999998</v>
      </c>
      <c r="S4" s="6">
        <f t="shared" si="0"/>
        <v>0.97615042817683784</v>
      </c>
    </row>
    <row r="5" spans="1:21" x14ac:dyDescent="0.2">
      <c r="A5" s="1" t="s">
        <v>15</v>
      </c>
      <c r="B5" s="6">
        <f>Book1!T7</f>
        <v>8.0299999999999994</v>
      </c>
      <c r="C5" s="6">
        <f>Book1!P7</f>
        <v>7.798</v>
      </c>
      <c r="D5" s="6">
        <f>Book1!L7</f>
        <v>7.6630000000000003</v>
      </c>
      <c r="E5" s="6">
        <f>Book1!H7</f>
        <v>7.5170000000000003</v>
      </c>
      <c r="F5" s="6">
        <f>Book1!D7</f>
        <v>7.4720000000000004</v>
      </c>
      <c r="G5" s="6">
        <f>Book1!B7</f>
        <v>7.5439999999999996</v>
      </c>
      <c r="H5" s="6">
        <f>Book1!F7</f>
        <v>7.7770000000000001</v>
      </c>
      <c r="I5" s="6">
        <f>Book1!J7</f>
        <v>8.0519999999999996</v>
      </c>
      <c r="J5" s="6">
        <f>Book1!N7</f>
        <v>8.4860000000000007</v>
      </c>
      <c r="K5" s="6">
        <f>Book1!R7</f>
        <v>8.7919999999999998</v>
      </c>
      <c r="L5" s="6">
        <f>Book1!V7</f>
        <v>9.2520000000000007</v>
      </c>
      <c r="N5" s="1">
        <f>1/12</f>
        <v>8.3333333333333329E-2</v>
      </c>
      <c r="O5" s="9">
        <f>Book1!AA7</f>
        <v>8.6700000000000006E-3</v>
      </c>
      <c r="P5" s="9">
        <f>Book1!AB7</f>
        <v>-1.225E-2</v>
      </c>
      <c r="Q5" s="5">
        <f>Book1!AC7</f>
        <v>0.97430000000000005</v>
      </c>
      <c r="S5" s="6">
        <f t="shared" si="0"/>
        <v>0.97600001107909951</v>
      </c>
    </row>
    <row r="6" spans="1:21" x14ac:dyDescent="0.2">
      <c r="A6" s="1" t="s">
        <v>16</v>
      </c>
      <c r="B6" s="6">
        <f>Book1!T8</f>
        <v>7.7430000000000003</v>
      </c>
      <c r="C6" s="6">
        <f>Book1!P8</f>
        <v>7.4720000000000004</v>
      </c>
      <c r="D6" s="6">
        <f>Book1!L8</f>
        <v>7.3129999999999997</v>
      </c>
      <c r="E6" s="6">
        <f>Book1!H8</f>
        <v>7.1390000000000002</v>
      </c>
      <c r="F6" s="6">
        <f>Book1!D8</f>
        <v>7.077</v>
      </c>
      <c r="G6" s="6">
        <f>Book1!B8</f>
        <v>7.1520000000000001</v>
      </c>
      <c r="H6" s="6">
        <f>Book1!F8</f>
        <v>7.4029999999999996</v>
      </c>
      <c r="I6" s="6">
        <f>Book1!J8</f>
        <v>7.7119999999999997</v>
      </c>
      <c r="J6" s="6">
        <f>Book1!N8</f>
        <v>8.1880000000000006</v>
      </c>
      <c r="K6" s="6">
        <f>Book1!R8</f>
        <v>8.5250000000000004</v>
      </c>
      <c r="L6" s="6">
        <f>Book1!V8</f>
        <v>9.0380000000000003</v>
      </c>
      <c r="N6" s="1">
        <f>2/12</f>
        <v>0.16666666666666666</v>
      </c>
      <c r="O6" s="9">
        <f>Book1!AA8</f>
        <v>1.0019999999999999E-2</v>
      </c>
      <c r="P6" s="9">
        <f>Book1!AB8</f>
        <v>-1.2749999999999999E-2</v>
      </c>
      <c r="Q6" s="5">
        <f>Book1!AC8</f>
        <v>0.97230000000000005</v>
      </c>
      <c r="S6" s="6">
        <f t="shared" si="0"/>
        <v>0.97599688890981695</v>
      </c>
    </row>
    <row r="7" spans="1:21" x14ac:dyDescent="0.2">
      <c r="A7" s="1" t="s">
        <v>17</v>
      </c>
      <c r="B7" s="6">
        <f>Book1!T9</f>
        <v>7.968</v>
      </c>
      <c r="C7" s="6">
        <f>Book1!P9</f>
        <v>7.625</v>
      </c>
      <c r="D7" s="6">
        <f>Book1!L9</f>
        <v>7.4130000000000003</v>
      </c>
      <c r="E7" s="6">
        <f>Book1!H9</f>
        <v>7.1779999999999999</v>
      </c>
      <c r="F7" s="6">
        <f>Book1!D9</f>
        <v>7.101</v>
      </c>
      <c r="G7" s="6">
        <f>Book1!B9</f>
        <v>7.1790000000000003</v>
      </c>
      <c r="H7" s="6">
        <f>Book1!F9</f>
        <v>7.4580000000000002</v>
      </c>
      <c r="I7" s="6">
        <f>Book1!J9</f>
        <v>7.806</v>
      </c>
      <c r="J7" s="6">
        <f>Book1!N9</f>
        <v>8.3559999999999999</v>
      </c>
      <c r="K7" s="6">
        <f>Book1!R9</f>
        <v>8.7449999999999992</v>
      </c>
      <c r="L7" s="6">
        <f>Book1!V9</f>
        <v>9.343</v>
      </c>
      <c r="N7" s="1">
        <f>3/12</f>
        <v>0.25</v>
      </c>
      <c r="O7" s="9">
        <f>Book1!AA9</f>
        <v>1.023E-2</v>
      </c>
      <c r="P7" s="9">
        <f>Book1!AB9</f>
        <v>-1.247E-2</v>
      </c>
      <c r="Q7" s="5">
        <f>Book1!AC9</f>
        <v>0.97030000000000005</v>
      </c>
      <c r="S7" s="6">
        <f t="shared" si="0"/>
        <v>0.97582210665740698</v>
      </c>
    </row>
    <row r="8" spans="1:21" x14ac:dyDescent="0.2">
      <c r="A8" s="1" t="s">
        <v>18</v>
      </c>
      <c r="B8" s="6">
        <f>Book1!T10</f>
        <v>8.1750000000000007</v>
      </c>
      <c r="C8" s="6">
        <f>Book1!P10</f>
        <v>7.8120000000000003</v>
      </c>
      <c r="D8" s="6">
        <f>Book1!L10</f>
        <v>7.5919999999999996</v>
      </c>
      <c r="E8" s="6">
        <f>Book1!H10</f>
        <v>7.3449999999999998</v>
      </c>
      <c r="F8" s="6">
        <f>Book1!D10</f>
        <v>7.2560000000000002</v>
      </c>
      <c r="G8" s="6">
        <f>Book1!B10</f>
        <v>7.3339999999999996</v>
      </c>
      <c r="H8" s="6">
        <f>Book1!F10</f>
        <v>7.6210000000000004</v>
      </c>
      <c r="I8" s="6">
        <f>Book1!J10</f>
        <v>7.9779999999999998</v>
      </c>
      <c r="J8" s="6">
        <f>Book1!N10</f>
        <v>8.5470000000000006</v>
      </c>
      <c r="K8" s="6">
        <f>Book1!R10</f>
        <v>8.952</v>
      </c>
      <c r="L8" s="6">
        <f>Book1!V10</f>
        <v>9.5739999999999998</v>
      </c>
      <c r="N8" s="1">
        <f>4/12</f>
        <v>0.33333333333333331</v>
      </c>
      <c r="O8" s="9">
        <f>Book1!AA10</f>
        <v>1.065E-2</v>
      </c>
      <c r="P8" s="9">
        <f>Book1!AB10</f>
        <v>-1.1939999999999999E-2</v>
      </c>
      <c r="Q8" s="5">
        <f>Book1!AC10</f>
        <v>0.96860000000000002</v>
      </c>
      <c r="S8" s="6">
        <f t="shared" si="0"/>
        <v>0.97592108730103444</v>
      </c>
    </row>
    <row r="9" spans="1:21" x14ac:dyDescent="0.2">
      <c r="A9" s="1" t="s">
        <v>19</v>
      </c>
      <c r="B9" s="6">
        <f>Book1!T11</f>
        <v>8.3940000000000001</v>
      </c>
      <c r="C9" s="6">
        <f>Book1!P11</f>
        <v>7.9870000000000001</v>
      </c>
      <c r="D9" s="6">
        <f>Book1!L11</f>
        <v>7.734</v>
      </c>
      <c r="E9" s="6">
        <f>Book1!H11</f>
        <v>7.4580000000000002</v>
      </c>
      <c r="F9" s="6">
        <f>Book1!D11</f>
        <v>7.3609999999999998</v>
      </c>
      <c r="G9" s="6">
        <f>Book1!B11</f>
        <v>7.4359999999999999</v>
      </c>
      <c r="H9" s="6">
        <f>Book1!F11</f>
        <v>7.734</v>
      </c>
      <c r="I9" s="6">
        <f>Book1!J11</f>
        <v>8.1110000000000007</v>
      </c>
      <c r="J9" s="6">
        <f>Book1!N11</f>
        <v>8.7309999999999999</v>
      </c>
      <c r="K9" s="6">
        <f>Book1!R11</f>
        <v>9.1999999999999993</v>
      </c>
      <c r="L9" s="6">
        <f>Book1!V11</f>
        <v>9.86</v>
      </c>
      <c r="N9" s="1">
        <f>6/12</f>
        <v>0.5</v>
      </c>
      <c r="O9" s="9">
        <f>Book1!AA11</f>
        <v>1.116E-2</v>
      </c>
      <c r="P9" s="9">
        <f>Book1!AB11</f>
        <v>-1.2200000000000001E-2</v>
      </c>
      <c r="Q9" s="5">
        <f>Book1!AC11</f>
        <v>0.96450000000000002</v>
      </c>
      <c r="S9" s="6">
        <f t="shared" si="0"/>
        <v>0.97583140659332424</v>
      </c>
    </row>
    <row r="10" spans="1:21" x14ac:dyDescent="0.2">
      <c r="A10" s="1" t="s">
        <v>20</v>
      </c>
      <c r="B10" s="6">
        <f>Book1!T12</f>
        <v>8.5289999999999999</v>
      </c>
      <c r="C10" s="6">
        <f>Book1!P12</f>
        <v>8.0939999999999994</v>
      </c>
      <c r="D10" s="6">
        <f>Book1!L12</f>
        <v>7.827</v>
      </c>
      <c r="E10" s="6">
        <f>Book1!H12</f>
        <v>7.5259999999999998</v>
      </c>
      <c r="F10" s="6">
        <f>Book1!D12</f>
        <v>7.4219999999999997</v>
      </c>
      <c r="G10" s="6">
        <f>Book1!B12</f>
        <v>7.4989999999999997</v>
      </c>
      <c r="H10" s="6">
        <f>Book1!F12</f>
        <v>7.8049999999999997</v>
      </c>
      <c r="I10" s="6">
        <f>Book1!J12</f>
        <v>8.2010000000000005</v>
      </c>
      <c r="J10" s="6">
        <f>Book1!N12</f>
        <v>8.8550000000000004</v>
      </c>
      <c r="K10" s="6">
        <f>Book1!R12</f>
        <v>9.3239999999999998</v>
      </c>
      <c r="L10" s="6">
        <f>Book1!V12</f>
        <v>10.035</v>
      </c>
      <c r="N10" s="1">
        <f>9/12</f>
        <v>0.75</v>
      </c>
      <c r="O10" s="9">
        <f>Book1!AA12</f>
        <v>1.166E-2</v>
      </c>
      <c r="P10" s="9">
        <f>Book1!AB12</f>
        <v>-1.242E-2</v>
      </c>
      <c r="Q10" s="5">
        <f>Book1!AC12</f>
        <v>0.95820000000000005</v>
      </c>
      <c r="S10" s="6">
        <f t="shared" si="0"/>
        <v>0.97566230195866099</v>
      </c>
    </row>
    <row r="11" spans="1:21" x14ac:dyDescent="0.2">
      <c r="A11" s="1" t="s">
        <v>21</v>
      </c>
      <c r="B11" s="6">
        <f>Book1!T13</f>
        <v>8.9120000000000008</v>
      </c>
      <c r="C11" s="6">
        <f>Book1!P13</f>
        <v>8.4109999999999996</v>
      </c>
      <c r="D11" s="6">
        <f>Book1!L13</f>
        <v>8.11</v>
      </c>
      <c r="E11" s="6">
        <f>Book1!H13</f>
        <v>7.7690000000000001</v>
      </c>
      <c r="F11" s="6">
        <f>Book1!D13</f>
        <v>7.6459999999999999</v>
      </c>
      <c r="G11" s="6">
        <f>Book1!B13</f>
        <v>7.726</v>
      </c>
      <c r="H11" s="6">
        <f>Book1!F13</f>
        <v>8.0559999999999992</v>
      </c>
      <c r="I11" s="6">
        <f>Book1!J13</f>
        <v>8.4969999999999999</v>
      </c>
      <c r="J11" s="6">
        <f>Book1!N13</f>
        <v>9.2319999999999993</v>
      </c>
      <c r="K11" s="6">
        <f>Book1!R13</f>
        <v>9.7710000000000008</v>
      </c>
      <c r="L11" s="6">
        <f>Book1!V13</f>
        <v>10.571</v>
      </c>
      <c r="N11" s="1">
        <v>1</v>
      </c>
      <c r="O11" s="9">
        <f>Book1!AA13</f>
        <v>1.197E-2</v>
      </c>
      <c r="P11" s="9">
        <f>Book1!AB13</f>
        <v>-1.2370000000000001E-2</v>
      </c>
      <c r="Q11" s="5">
        <f>Book1!AC13</f>
        <v>0.95209999999999995</v>
      </c>
      <c r="S11" s="6">
        <f t="shared" si="0"/>
        <v>0.97555844515412504</v>
      </c>
    </row>
    <row r="12" spans="1:21" x14ac:dyDescent="0.2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21" x14ac:dyDescent="0.2">
      <c r="A13" s="7" t="s">
        <v>34</v>
      </c>
      <c r="B13" s="1">
        <v>0.05</v>
      </c>
      <c r="C13" s="1">
        <v>0.1</v>
      </c>
      <c r="D13" s="1">
        <v>0.15</v>
      </c>
      <c r="E13" s="1">
        <v>0.25</v>
      </c>
      <c r="F13" s="1">
        <v>0.35</v>
      </c>
      <c r="G13" s="1">
        <v>0.5</v>
      </c>
      <c r="H13" s="1">
        <v>-0.35</v>
      </c>
      <c r="I13" s="1">
        <v>-0.25</v>
      </c>
      <c r="J13" s="1">
        <v>-0.15</v>
      </c>
      <c r="K13" s="1">
        <v>-0.1</v>
      </c>
      <c r="L13" s="1">
        <v>-0.05</v>
      </c>
    </row>
    <row r="14" spans="1:21" x14ac:dyDescent="0.2">
      <c r="A14" s="1" t="s">
        <v>12</v>
      </c>
      <c r="B14" s="5">
        <f>strike(B$13,$Q2,B2/100,$N2,$P2/100,B$25)</f>
        <v>0.95965704818365971</v>
      </c>
      <c r="C14" s="5">
        <f>strike(C$13,$Q2,C2/100,$N2,$P2,C$25)</f>
        <v>0.96349886936635176</v>
      </c>
      <c r="D14" s="5">
        <f>strike(D$13,$Q2,D2/100,$N2,$P2,D$25)</f>
        <v>0.96597703409176794</v>
      </c>
      <c r="E14" s="5">
        <f>strike(E$13,$Q2,E2/100,$N2,$P2,E$25)</f>
        <v>0.96950531207451529</v>
      </c>
      <c r="F14" s="5">
        <f>strike(F$13,$Q2,F2/100,$N2,$P2,F$25)</f>
        <v>0.97223026961471659</v>
      </c>
      <c r="G14" s="5">
        <f>strike(G$13,$Q2,G2/100,$N2,$P2,G$25)</f>
        <v>0.97584922534768492</v>
      </c>
      <c r="H14" s="5">
        <f>strike(H$13,$Q2,H2/100,$N2,$P2,H$25)</f>
        <v>0.97962241183348453</v>
      </c>
      <c r="I14" s="5">
        <f>strike(I$13,$Q2,I2/100,$N2,$P2,I$25)</f>
        <v>0.98268417316033629</v>
      </c>
      <c r="J14" s="5">
        <f>strike(J$13,$Q2,J2/100,$N2,$P2,J$25)</f>
        <v>0.98688709914591244</v>
      </c>
      <c r="K14" s="5">
        <f>strike(K$13,$Q2,K2/100,$N2,$P2,K$25)</f>
        <v>0.98996499096577462</v>
      </c>
      <c r="L14" s="5">
        <f>strike(L$13,$Q2,L2/100,$N2,$P2,L$25)</f>
        <v>0.99485733887077876</v>
      </c>
    </row>
    <row r="15" spans="1:21" x14ac:dyDescent="0.2">
      <c r="A15" s="1" t="s">
        <v>13</v>
      </c>
      <c r="B15" s="5">
        <f>strike(B$13,$Q3,B3/100,$N3,$P3/100,B$25)</f>
        <v>0.95276023251411479</v>
      </c>
      <c r="C15" s="5">
        <f>strike(C$13,$Q3,C3/100,$N3,$P3,C$25)</f>
        <v>0.95817203171490806</v>
      </c>
      <c r="D15" s="5">
        <f>strike(D$13,$Q3,D3/100,$N3,$P3,D$25)</f>
        <v>0.96165558394192951</v>
      </c>
      <c r="E15" s="5">
        <f>strike(E$13,$Q3,E3/100,$N3,$P3,E$25)</f>
        <v>0.96660202925847083</v>
      </c>
      <c r="F15" s="5">
        <f>strike(F$13,$Q3,F3/100,$N3,$P3,F$25)</f>
        <v>0.97042100402108056</v>
      </c>
      <c r="G15" s="5">
        <f>strike(G$13,$Q3,G3/100,$N3,$P3,G$25)</f>
        <v>0.97550116138118348</v>
      </c>
      <c r="H15" s="5">
        <f>strike(H$13,$Q3,H3/100,$N3,$P3,H$25)</f>
        <v>0.98084110454006757</v>
      </c>
      <c r="I15" s="5">
        <f>strike(I$13,$Q3,I3/100,$N3,$P3,I$25)</f>
        <v>0.98524114894971426</v>
      </c>
      <c r="J15" s="5">
        <f>strike(J$13,$Q3,J3/100,$N3,$P3,J$25)</f>
        <v>0.99133521105420541</v>
      </c>
      <c r="K15" s="5">
        <f>strike(K$13,$Q3,K3/100,$N3,$P3,K$25)</f>
        <v>0.99582695053741699</v>
      </c>
      <c r="L15" s="5">
        <f>strike(L$13,$Q3,L3/100,$N3,$P3,L$25)</f>
        <v>1.0030451599560168</v>
      </c>
    </row>
    <row r="16" spans="1:21" x14ac:dyDescent="0.2">
      <c r="A16" s="1" t="s">
        <v>14</v>
      </c>
      <c r="B16" s="5">
        <f>strike(B$13,$Q4,B4/100,$N4,$P4/100,B$25)</f>
        <v>0.94634694332611302</v>
      </c>
      <c r="C16" s="5">
        <f>strike(C$13,$Q4,C4/100,$N4,$P4,C$25)</f>
        <v>0.9531536133359485</v>
      </c>
      <c r="D16" s="5">
        <f>strike(D$13,$Q4,D4/100,$N4,$P4,D$25)</f>
        <v>0.95755013809196809</v>
      </c>
      <c r="E16" s="5">
        <f>strike(E$13,$Q4,E4/100,$N4,$P4,E$25)</f>
        <v>0.96381848643017398</v>
      </c>
      <c r="F16" s="5">
        <f>strike(F$13,$Q4,F4/100,$N4,$P4,F$25)</f>
        <v>0.96868665778068974</v>
      </c>
      <c r="G16" s="5">
        <f>strike(G$13,$Q4,G4/100,$N4,$P4,G$25)</f>
        <v>0.97516536888830296</v>
      </c>
      <c r="H16" s="5">
        <f>strike(H$13,$Q4,H4/100,$N4,$P4,H$25)</f>
        <v>0.98194160213113579</v>
      </c>
      <c r="I16" s="5">
        <f>strike(I$13,$Q4,I4/100,$N4,$P4,I$25)</f>
        <v>0.98750344045210703</v>
      </c>
      <c r="J16" s="5">
        <f>strike(J$13,$Q4,J4/100,$N4,$P4,J$25)</f>
        <v>0.99513948934836549</v>
      </c>
      <c r="K16" s="5">
        <f>strike(K$13,$Q4,K4/100,$N4,$P4,K$25)</f>
        <v>1.0007495770616994</v>
      </c>
      <c r="L16" s="5">
        <f>strike(L$13,$Q4,L4/100,$N4,$P4,L$25)</f>
        <v>1.0097359278950107</v>
      </c>
    </row>
    <row r="17" spans="1:17" x14ac:dyDescent="0.2">
      <c r="A17" s="1" t="s">
        <v>15</v>
      </c>
      <c r="B17" s="5">
        <f>strike(B$13,$Q5,B5/100,$N5,$P5/100,B$25)</f>
        <v>0.93810260844893623</v>
      </c>
      <c r="C17" s="5">
        <f>strike(C$13,$Q5,C5/100,$N5,$P5,C$25)</f>
        <v>0.94684638506167096</v>
      </c>
      <c r="D17" s="5">
        <f>strike(D$13,$Q5,D5/100,$N5,$P5,D$25)</f>
        <v>0.95246307803114338</v>
      </c>
      <c r="E17" s="5">
        <f>strike(E$13,$Q5,E5/100,$N5,$P5,E$25)</f>
        <v>0.96038659122770598</v>
      </c>
      <c r="F17" s="5">
        <f>strike(F$13,$Q5,F5/100,$N5,$P5,F$25)</f>
        <v>0.96648078577492358</v>
      </c>
      <c r="G17" s="5">
        <f>strike(G$13,$Q5,G5/100,$N5,$P5,G$25)</f>
        <v>0.97455823362448679</v>
      </c>
      <c r="H17" s="5">
        <f>strike(H$13,$Q5,H5/100,$N5,$P5,H$25)</f>
        <v>0.98299118774328165</v>
      </c>
      <c r="I17" s="5">
        <f>strike(I$13,$Q5,I5/100,$N5,$P5,I$25)</f>
        <v>0.98994428027154246</v>
      </c>
      <c r="J17" s="5">
        <f>strike(J$13,$Q5,J5/100,$N5,$P5,J$25)</f>
        <v>0.99963749071871244</v>
      </c>
      <c r="K17" s="5">
        <f>strike(K$13,$Q5,K5/100,$N5,$P5,K$25)</f>
        <v>1.0068206419387713</v>
      </c>
      <c r="L17" s="5">
        <f>strike(L$13,$Q5,L5/100,$N5,$P5,L$25)</f>
        <v>1.0184058871621962</v>
      </c>
    </row>
    <row r="18" spans="1:17" x14ac:dyDescent="0.2">
      <c r="A18" s="1" t="s">
        <v>16</v>
      </c>
      <c r="B18" s="5">
        <f>strike(B$13,$Q6,B6/100,$N6,$P6/100,B$25)</f>
        <v>0.92349872992389603</v>
      </c>
      <c r="C18" s="5">
        <f>strike(C$13,$Q6,C6/100,$N6,$P6,C$25)</f>
        <v>0.9354930837448453</v>
      </c>
      <c r="D18" s="5">
        <f>strike(D$13,$Q6,D6/100,$N6,$P6,D$25)</f>
        <v>0.94313362162398706</v>
      </c>
      <c r="E18" s="5">
        <f>strike(E$13,$Q6,E6/100,$N6,$P6,E$25)</f>
        <v>0.95382475361307151</v>
      </c>
      <c r="F18" s="5">
        <f>strike(F$13,$Q6,F6/100,$N6,$P6,F$25)</f>
        <v>0.96199306566753495</v>
      </c>
      <c r="G18" s="5">
        <f>strike(G$13,$Q6,G6/100,$N6,$P6,G$25)</f>
        <v>0.97279026443537298</v>
      </c>
      <c r="H18" s="5">
        <f>strike(H$13,$Q6,H6/100,$N6,$P6,H$25)</f>
        <v>0.98407859758993832</v>
      </c>
      <c r="I18" s="5">
        <f>strike(I$13,$Q6,I6/100,$N6,$P6,I$25)</f>
        <v>0.99360830642442188</v>
      </c>
      <c r="J18" s="5">
        <f>strike(J$13,$Q6,J6/100,$N6,$P6,J$25)</f>
        <v>1.0070923748292391</v>
      </c>
      <c r="K18" s="5">
        <f>strike(K$13,$Q6,K6/100,$N6,$P6,K$25)</f>
        <v>1.0172212548741415</v>
      </c>
      <c r="L18" s="5">
        <f>strike(L$13,$Q6,L6/100,$N6,$P6,L$25)</f>
        <v>1.0338014812824783</v>
      </c>
    </row>
    <row r="19" spans="1:17" x14ac:dyDescent="0.2">
      <c r="A19" s="1" t="s">
        <v>17</v>
      </c>
      <c r="B19" s="5">
        <f>strike(B$13,$Q7,B7/100,$N7,$P7/100,B$25)</f>
        <v>0.90947594450037217</v>
      </c>
      <c r="C19" s="5">
        <f>strike(C$13,$Q7,C7/100,$N7,$P7,C$25)</f>
        <v>0.92476593201397306</v>
      </c>
      <c r="D19" s="5">
        <f>strike(D$13,$Q7,D7/100,$N7,$P7,D$25)</f>
        <v>0.93444351600295694</v>
      </c>
      <c r="E19" s="5">
        <f>strike(E$13,$Q7,E7/100,$N7,$P7,E$25)</f>
        <v>0.94778719462621686</v>
      </c>
      <c r="F19" s="5">
        <f>strike(F$13,$Q7,F7/100,$N7,$P7,F$25)</f>
        <v>0.95781964305428735</v>
      </c>
      <c r="G19" s="5">
        <f>strike(G$13,$Q7,G7/100,$N7,$P7,G$25)</f>
        <v>0.97106168729846642</v>
      </c>
      <c r="H19" s="5">
        <f>strike(H$13,$Q7,H7/100,$N7,$P7,H$25)</f>
        <v>0.98491881450630947</v>
      </c>
      <c r="I19" s="5">
        <f>strike(I$13,$Q7,I7/100,$N7,$P7,I$25)</f>
        <v>0.99684621746753188</v>
      </c>
      <c r="J19" s="5">
        <f>strike(J$13,$Q7,J7/100,$N7,$P7,J$25)</f>
        <v>1.0140387875042129</v>
      </c>
      <c r="K19" s="5">
        <f>strike(K$13,$Q7,K7/100,$N7,$P7,K$25)</f>
        <v>1.0271254738382873</v>
      </c>
      <c r="L19" s="5">
        <f>strike(L$13,$Q7,L7/100,$N7,$P7,L$25)</f>
        <v>1.0488663144948156</v>
      </c>
    </row>
    <row r="20" spans="1:17" x14ac:dyDescent="0.2">
      <c r="A20" s="1" t="s">
        <v>18</v>
      </c>
      <c r="B20" s="5">
        <f>strike(B$13,$Q8,B8/100,$N8,$P8/100,B$25)</f>
        <v>0.89724777522253307</v>
      </c>
      <c r="C20" s="5">
        <f>strike(C$13,$Q8,C8/100,$N8,$P8,C$25)</f>
        <v>0.91522494880504079</v>
      </c>
      <c r="D20" s="5">
        <f>strike(D$13,$Q8,D8/100,$N8,$P8,D$25)</f>
        <v>0.92657526790879841</v>
      </c>
      <c r="E20" s="5">
        <f>strike(E$13,$Q8,E8/100,$N8,$P8,E$25)</f>
        <v>0.94225988007738093</v>
      </c>
      <c r="F20" s="5">
        <f>strike(F$13,$Q8,F8/100,$N8,$P8,F$25)</f>
        <v>0.95407751479671521</v>
      </c>
      <c r="G20" s="5">
        <f>strike(G$13,$Q8,G8/100,$N8,$P8,G$25)</f>
        <v>0.96967389599514542</v>
      </c>
      <c r="H20" s="5">
        <f>strike(H$13,$Q8,H8/100,$N8,$P8,H$25)</f>
        <v>0.98595240943892748</v>
      </c>
      <c r="I20" s="5">
        <f>strike(I$13,$Q8,I8/100,$N8,$P8,I$25)</f>
        <v>1.000080579739512</v>
      </c>
      <c r="J20" s="5">
        <f>strike(J$13,$Q8,J8/100,$N8,$P8,J$25)</f>
        <v>1.0205396043933013</v>
      </c>
      <c r="K20" s="5">
        <f>strike(K$13,$Q8,K8/100,$N8,$P8,K$25)</f>
        <v>1.0361905275439542</v>
      </c>
      <c r="L20" s="5">
        <f>strike(L$13,$Q8,L8/100,$N8,$P8,L$25)</f>
        <v>1.0623012826090892</v>
      </c>
    </row>
    <row r="21" spans="1:17" x14ac:dyDescent="0.2">
      <c r="A21" s="1" t="s">
        <v>19</v>
      </c>
      <c r="B21" s="5">
        <f>strike(B$13,$Q9,B9/100,$N9,$P9/100,B$25)</f>
        <v>0.87633070152400161</v>
      </c>
      <c r="C21" s="5">
        <f>strike(C$13,$Q9,C9/100,$N9,$P9,C$25)</f>
        <v>0.89876662042894162</v>
      </c>
      <c r="D21" s="5">
        <f>strike(D$13,$Q9,D9/100,$N9,$P9,D$25)</f>
        <v>0.91291240998303236</v>
      </c>
      <c r="E21" s="5">
        <f>strike(E$13,$Q9,E9/100,$N9,$P9,E$25)</f>
        <v>0.93232727898369705</v>
      </c>
      <c r="F21" s="5">
        <f>strike(F$13,$Q9,F9/100,$N9,$P9,F$25)</f>
        <v>0.94691474581795665</v>
      </c>
      <c r="G21" s="5">
        <f>strike(G$13,$Q9,G9/100,$N9,$P9,G$25)</f>
        <v>0.96622372449096827</v>
      </c>
      <c r="H21" s="5">
        <f>strike(H$13,$Q9,H9/100,$N9,$P9,H$25)</f>
        <v>0.98620242391157786</v>
      </c>
      <c r="I21" s="5">
        <f>strike(I$13,$Q9,I9/100,$N9,$P9,I$25)</f>
        <v>1.0039155762837857</v>
      </c>
      <c r="J21" s="5">
        <f>strike(J$13,$Q9,J9/100,$N9,$P9,J$25)</f>
        <v>1.0299441572113368</v>
      </c>
      <c r="K21" s="5">
        <f>strike(K$13,$Q9,K9/100,$N9,$P9,K$25)</f>
        <v>1.0503401685055709</v>
      </c>
      <c r="L21" s="5">
        <f>strike(L$13,$Q9,L9/100,$N9,$P9,L$25)</f>
        <v>1.0841097313902781</v>
      </c>
    </row>
    <row r="22" spans="1:17" x14ac:dyDescent="0.2">
      <c r="A22" s="1" t="s">
        <v>20</v>
      </c>
      <c r="B22" s="5">
        <f>strike(B$13,$Q10,B10/100,$N10,$P10/100,B$25)</f>
        <v>0.85089899027856686</v>
      </c>
      <c r="C22" s="5">
        <f>strike(C$13,$Q10,C10/100,$N10,$P10,C$25)</f>
        <v>0.87835778847215695</v>
      </c>
      <c r="D22" s="5">
        <f>strike(D$13,$Q10,D10/100,$N10,$P10,D$25)</f>
        <v>0.89561200101762961</v>
      </c>
      <c r="E22" s="5">
        <f>strike(E$13,$Q10,E10/100,$N10,$P10,E$25)</f>
        <v>0.9193785620454743</v>
      </c>
      <c r="F22" s="5">
        <f>strike(F$13,$Q10,F10/100,$N10,$P10,F$25)</f>
        <v>0.93722434538776678</v>
      </c>
      <c r="G22" s="5">
        <f>strike(G$13,$Q10,G10/100,$N10,$P10,G$25)</f>
        <v>0.9609545222479059</v>
      </c>
      <c r="H22" s="5">
        <f>strike(H$13,$Q10,H10/100,$N10,$P10,H$25)</f>
        <v>0.98514545331878622</v>
      </c>
      <c r="I22" s="5">
        <f>strike(I$13,$Q10,I10/100,$N10,$P10,I$25)</f>
        <v>1.0072318820622361</v>
      </c>
      <c r="J22" s="5">
        <f>strike(J$13,$Q10,J10/100,$N10,$P10,J$25)</f>
        <v>1.0400428193926605</v>
      </c>
      <c r="K22" s="5">
        <f>strike(K$13,$Q10,K10/100,$N10,$P10,K$25)</f>
        <v>1.0656822930861141</v>
      </c>
      <c r="L22" s="5">
        <f>strike(L$13,$Q10,L10/100,$N10,$P10,L$25)</f>
        <v>1.1091919595401216</v>
      </c>
    </row>
    <row r="23" spans="1:17" x14ac:dyDescent="0.2">
      <c r="A23" s="1" t="s">
        <v>21</v>
      </c>
      <c r="B23" s="5">
        <f>strike(B$13,$Q11,B11/100,$N11,$P11/100,B$25)</f>
        <v>0.82555612307333681</v>
      </c>
      <c r="C23" s="5">
        <f>strike(C$13,$Q11,C11/100,$N11,$P11,C$25)</f>
        <v>0.85834821033494357</v>
      </c>
      <c r="D23" s="5">
        <f>strike(D$13,$Q11,D11/100,$N11,$P11,D$25)</f>
        <v>0.87879413374319093</v>
      </c>
      <c r="E23" s="5">
        <f>strike(E$13,$Q11,E11/100,$N11,$P11,E$25)</f>
        <v>0.90691169975789587</v>
      </c>
      <c r="F23" s="5">
        <f>strike(F$13,$Q11,F11/100,$N11,$P11,F$25)</f>
        <v>0.92799727402746623</v>
      </c>
      <c r="G23" s="5">
        <f>strike(G$13,$Q11,G11/100,$N11,$P11,G$25)</f>
        <v>0.95609751702554413</v>
      </c>
      <c r="H23" s="5">
        <f>strike(H$13,$Q11,H11/100,$N11,$P11,H$25)</f>
        <v>0.98437908330445889</v>
      </c>
      <c r="I23" s="5">
        <f>strike(I$13,$Q11,I11/100,$N11,$P11,I$25)</f>
        <v>1.0110676208462652</v>
      </c>
      <c r="J23" s="5">
        <f>strike(J$13,$Q11,J11/100,$N11,$P11,J$25)</f>
        <v>1.0514010443405308</v>
      </c>
      <c r="K23" s="5">
        <f>strike(K$13,$Q11,K11/100,$N11,$P11,K$25)</f>
        <v>1.0835242861188632</v>
      </c>
      <c r="L23" s="5">
        <f>strike(L$13,$Q11,L11/100,$N11,$P11,L$25)</f>
        <v>1.1385378332958926</v>
      </c>
    </row>
    <row r="24" spans="1:17" x14ac:dyDescent="0.2">
      <c r="Q24" s="6"/>
    </row>
    <row r="25" spans="1:17" x14ac:dyDescent="0.2">
      <c r="A25" s="7" t="s">
        <v>36</v>
      </c>
      <c r="B25" s="1">
        <v>1</v>
      </c>
      <c r="C25" s="1">
        <v>1</v>
      </c>
      <c r="D25" s="1">
        <v>1</v>
      </c>
      <c r="E25" s="1">
        <v>1</v>
      </c>
      <c r="F25" s="1">
        <v>1</v>
      </c>
      <c r="G25" s="1">
        <v>1</v>
      </c>
      <c r="H25" s="1">
        <v>-1</v>
      </c>
      <c r="I25" s="1">
        <v>-1</v>
      </c>
      <c r="J25" s="1">
        <v>-1</v>
      </c>
      <c r="K25" s="1">
        <v>-1</v>
      </c>
      <c r="L25" s="1">
        <v>-1</v>
      </c>
      <c r="Q25" s="6"/>
    </row>
    <row r="26" spans="1:17" x14ac:dyDescent="0.2">
      <c r="A26" s="1" t="s">
        <v>12</v>
      </c>
      <c r="B26" s="5">
        <f>_xludf.price($T$1,B14,$Q2,$N2,B2/100,$O2,$P2,B$25)</f>
        <v>1.7063971976291947E-2</v>
      </c>
      <c r="C26" s="5">
        <f>_xludf.price($T$1,C14,$Q2,$N2,C2/100,$O2,$P2,C$25)</f>
        <v>1.3437978988926957E-2</v>
      </c>
      <c r="D26" s="5">
        <f>_xludf.price($T$1,D14,$Q2,$N2,D2/100,$O2,$P2,D$25)</f>
        <v>1.1208506765281623E-2</v>
      </c>
      <c r="E26" s="5">
        <f>_xludf.price($T$1,E14,$Q2,$N2,E2/100,$O2,$P2,E$25)</f>
        <v>8.2723947052369962E-3</v>
      </c>
      <c r="F26" s="5">
        <f>_xludf.price($T$1,F14,$Q2,$N2,F2/100,$O2,$P2,F$25)</f>
        <v>6.2858515010816296E-3</v>
      </c>
      <c r="G26" s="5">
        <f>_xludf.price($T$1,G14,$Q2,$N2,G2/100,$O2,$P2,G$25)</f>
        <v>4.1415056423082519E-3</v>
      </c>
      <c r="H26" s="5">
        <f>_xludf.price($T$1,H14,$Q2,$N2,H2/100,$O2,$P2,H$25)</f>
        <v>5.6239982539402211E-3</v>
      </c>
      <c r="I26" s="5">
        <f>_xludf.price($T$1,I14,$Q2,$N2,I2/100,$O2,$P2,I$25)</f>
        <v>7.8171796042569852E-3</v>
      </c>
      <c r="J26" s="5">
        <f>_xludf.price($T$1,J14,$Q2,$N2,J2/100,$O2,$P2,J$25)</f>
        <v>1.1264271384761049E-2</v>
      </c>
      <c r="K26" s="5">
        <f>_xludf.price($T$1,K14,$Q2,$N2,K2/100,$O2,$P2,K$25)</f>
        <v>1.4000680531430554E-2</v>
      </c>
      <c r="L26" s="5">
        <f>_xludf.price($T$1,L14,$Q2,$N2,L2/100,$O2,$P2,L$25)</f>
        <v>1.8577604674274717E-2</v>
      </c>
      <c r="Q26" s="6"/>
    </row>
    <row r="27" spans="1:17" x14ac:dyDescent="0.2">
      <c r="A27" s="1" t="s">
        <v>13</v>
      </c>
      <c r="B27" s="5">
        <f>_xludf.price($T$1,B15,$Q3,$N3,B3/100,$O3,$P3,B$25)</f>
        <v>2.4392444123414458E-2</v>
      </c>
      <c r="C27" s="5">
        <f>_xludf.price($T$1,C15,$Q3,$N3,C3/100,$O3,$P3,C$25)</f>
        <v>1.9260845807829718E-2</v>
      </c>
      <c r="D27" s="5">
        <f>_xludf.price($T$1,D15,$Q3,$N3,D3/100,$O3,$P3,D$25)</f>
        <v>1.6103040127959711E-2</v>
      </c>
      <c r="E27" s="5">
        <f>_xludf.price($T$1,E15,$Q3,$N3,E3/100,$O3,$P3,E$25)</f>
        <v>1.1941669754405027E-2</v>
      </c>
      <c r="F27" s="5">
        <f>_xludf.price($T$1,F15,$Q3,$N3,F3/100,$O3,$P3,F$25)</f>
        <v>9.1145851941004663E-3</v>
      </c>
      <c r="G27" s="5">
        <f>_xludf.price($T$1,G15,$Q3,$N3,G3/100,$O3,$P3,G$25)</f>
        <v>6.0569107109927911E-3</v>
      </c>
      <c r="H27" s="5">
        <f>_xludf.price($T$1,H15,$Q3,$N3,H3/100,$O3,$P3,H$25)</f>
        <v>7.6761645434642034E-3</v>
      </c>
      <c r="I27" s="5">
        <f>_xludf.price($T$1,I15,$Q3,$N3,I3/100,$O3,$P3,I$25)</f>
        <v>1.0812048859891177E-2</v>
      </c>
      <c r="J27" s="5">
        <f>_xludf.price($T$1,J15,$Q3,$N3,J3/100,$O3,$P3,J$25)</f>
        <v>1.5790774530229257E-2</v>
      </c>
      <c r="K27" s="5">
        <f>_xludf.price($T$1,K15,$Q3,$N3,K3/100,$O3,$P3,K$25)</f>
        <v>1.977323984900814E-2</v>
      </c>
      <c r="L27" s="5">
        <f>_xludf.price($T$1,L15,$Q3,$N3,L3/100,$O3,$P3,L$25)</f>
        <v>2.6517508117853472E-2</v>
      </c>
    </row>
    <row r="28" spans="1:17" x14ac:dyDescent="0.2">
      <c r="A28" s="1" t="s">
        <v>14</v>
      </c>
      <c r="B28" s="5">
        <f>_xludf.price($T$1,B16,$Q4,$N4,B4/100,$O4,$P4,B$25)</f>
        <v>3.1225974641238663E-2</v>
      </c>
      <c r="C28" s="5">
        <f>_xludf.price($T$1,C16,$Q4,$N4,C4/100,$O4,$P4,C$25)</f>
        <v>2.4760472286275537E-2</v>
      </c>
      <c r="D28" s="5">
        <f>_xludf.price($T$1,D16,$Q4,$N4,D4/100,$O4,$P4,D$25)</f>
        <v>2.0763671673062811E-2</v>
      </c>
      <c r="E28" s="5">
        <f>_xludf.price($T$1,E16,$Q4,$N4,E4/100,$O4,$P4,E$25)</f>
        <v>1.5467059786602566E-2</v>
      </c>
      <c r="F28" s="5">
        <f>_xludf.price($T$1,F16,$Q4,$N4,F4/100,$O4,$P4,F$25)</f>
        <v>1.1831718710824002E-2</v>
      </c>
      <c r="G28" s="5">
        <f>_xludf.price($T$1,G16,$Q4,$N4,G4/100,$O4,$P4,G$25)</f>
        <v>7.876763958204025E-3</v>
      </c>
      <c r="H28" s="5">
        <f>_xludf.price($T$1,H16,$Q4,$N4,H4/100,$O4,$P4,H$25)</f>
        <v>9.5279243942278935E-3</v>
      </c>
      <c r="I28" s="5">
        <f>_xludf.price($T$1,I16,$Q4,$N4,I4/100,$O4,$P4,I$25)</f>
        <v>1.344217200193909E-2</v>
      </c>
      <c r="J28" s="5">
        <f>_xludf.price($T$1,J16,$Q4,$N4,J4/100,$O4,$P4,J$25)</f>
        <v>1.9622400131530493E-2</v>
      </c>
      <c r="K28" s="5">
        <f>_xludf.price($T$1,K16,$Q4,$N4,K4/100,$O4,$P4,K$25)</f>
        <v>2.4569316773021654E-2</v>
      </c>
      <c r="L28" s="5">
        <f>_xludf.price($T$1,L16,$Q4,$N4,L4/100,$O4,$P4,L$25)</f>
        <v>3.29386182305893E-2</v>
      </c>
    </row>
    <row r="29" spans="1:17" x14ac:dyDescent="0.2">
      <c r="A29" s="1" t="s">
        <v>15</v>
      </c>
      <c r="B29" s="5">
        <f>_xludf.price($T$1,B17,$Q5,$N5,B5/100,$O5,$P5,B$25)</f>
        <v>4.0045065687027814E-2</v>
      </c>
      <c r="C29" s="5">
        <f>_xludf.price($T$1,C17,$Q5,$N5,C5/100,$O5,$P5,C$25)</f>
        <v>3.1701408624302152E-2</v>
      </c>
      <c r="D29" s="5">
        <f>_xludf.price($T$1,D17,$Q5,$N5,D5/100,$O5,$P5,D$25)</f>
        <v>2.6553211263627308E-2</v>
      </c>
      <c r="E29" s="5">
        <f>_xludf.price($T$1,E17,$Q5,$N5,E5/100,$O5,$P5,E$25)</f>
        <v>1.9775229534170324E-2</v>
      </c>
      <c r="F29" s="5">
        <f>_xludf.price($T$1,F17,$Q5,$N5,F5/100,$O5,$P5,F$25)</f>
        <v>1.5150215641165476E-2</v>
      </c>
      <c r="G29" s="5">
        <f>_xludf.price($T$1,G17,$Q5,$N5,G5/100,$O5,$P5,G$25)</f>
        <v>1.0117869301420723E-2</v>
      </c>
      <c r="H29" s="5">
        <f>_xludf.price($T$1,H17,$Q5,$N5,H5/100,$O5,$P5,H$25)</f>
        <v>1.1453717286988185E-2</v>
      </c>
      <c r="I29" s="5">
        <f>_xludf.price($T$1,I17,$Q5,$N5,I5/100,$O5,$P5,I$25)</f>
        <v>1.6292137959901365E-2</v>
      </c>
      <c r="J29" s="5">
        <f>_xludf.price($T$1,J17,$Q5,$N5,J5/100,$O5,$P5,J$25)</f>
        <v>2.411450541370519E-2</v>
      </c>
      <c r="K29" s="5">
        <f>_xludf.price($T$1,K17,$Q5,$N5,K5/100,$O5,$P5,K$25)</f>
        <v>3.0437267369300303E-2</v>
      </c>
      <c r="L29" s="5">
        <f>_xludf.price($T$1,L17,$Q5,$N5,L5/100,$O5,$P5,L$25)</f>
        <v>4.1214584859326497E-2</v>
      </c>
    </row>
    <row r="30" spans="1:17" x14ac:dyDescent="0.2">
      <c r="A30" s="1" t="s">
        <v>16</v>
      </c>
      <c r="B30" s="5">
        <f>_xludf.price($T$1,B18,$Q6,$N6,B6/100,$O6,$P6,B$25)</f>
        <v>5.6565108042597401E-2</v>
      </c>
      <c r="C30" s="5">
        <f>_xludf.price($T$1,C18,$Q6,$N6,C6/100,$O6,$P6,C$25)</f>
        <v>4.4985078160394543E-2</v>
      </c>
      <c r="D30" s="5">
        <f>_xludf.price($T$1,D18,$Q6,$N6,D6/100,$O6,$P6,D$25)</f>
        <v>3.7842295999072517E-2</v>
      </c>
      <c r="E30" s="5">
        <f>_xludf.price($T$1,E18,$Q6,$N6,E6/100,$O6,$P6,E$25)</f>
        <v>2.8415902716251273E-2</v>
      </c>
      <c r="F30" s="5">
        <f>_xludf.price($T$1,F18,$Q6,$N6,F6/100,$O6,$P6,F$25)</f>
        <v>2.1940184202931645E-2</v>
      </c>
      <c r="G30" s="5">
        <f>_xludf.price($T$1,G18,$Q6,$N6,G6/100,$O6,$P6,G$25)</f>
        <v>1.4845724531554028E-2</v>
      </c>
      <c r="H30" s="5">
        <f>_xludf.price($T$1,H18,$Q6,$N6,H6/100,$O6,$P6,H$25)</f>
        <v>1.3657407876357497E-2</v>
      </c>
      <c r="I30" s="5">
        <f>_xludf.price($T$1,I18,$Q6,$N6,I6/100,$O6,$P6,I$25)</f>
        <v>2.0095271181439167E-2</v>
      </c>
      <c r="J30" s="5">
        <f>_xludf.price($T$1,J18,$Q6,$N6,J6/100,$O6,$P6,J$25)</f>
        <v>3.0788060208013612E-2</v>
      </c>
      <c r="K30" s="5">
        <f>_xludf.price($T$1,K18,$Q6,$N6,K6/100,$O6,$P6,K$25)</f>
        <v>3.9610740925825172E-2</v>
      </c>
      <c r="L30" s="5">
        <f>_xludf.price($T$1,L18,$Q6,$N6,L6/100,$O6,$P6,L$25)</f>
        <v>5.4943055686115461E-2</v>
      </c>
    </row>
    <row r="31" spans="1:17" x14ac:dyDescent="0.2">
      <c r="A31" s="1" t="s">
        <v>17</v>
      </c>
      <c r="B31" s="5">
        <f>_xludf.price($T$1,B19,$Q7,$N7,B7/100,$O7,$P7,B$25)</f>
        <v>7.2319008812823493E-2</v>
      </c>
      <c r="C31" s="5">
        <f>_xludf.price($T$1,C19,$Q7,$N7,C7/100,$O7,$P7,C$25)</f>
        <v>5.7458233394632963E-2</v>
      </c>
      <c r="D31" s="5">
        <f>_xludf.price($T$1,D19,$Q7,$N7,D7/100,$O7,$P7,D$25)</f>
        <v>4.8296788056590434E-2</v>
      </c>
      <c r="E31" s="5">
        <f>_xludf.price($T$1,E19,$Q7,$N7,E7/100,$O7,$P7,E$25)</f>
        <v>3.6295718578918557E-2</v>
      </c>
      <c r="F31" s="5">
        <f>_xludf.price($T$1,F19,$Q7,$N7,F7/100,$O7,$P7,F$25)</f>
        <v>2.8138638856161413E-2</v>
      </c>
      <c r="G31" s="5">
        <f>_xludf.price($T$1,G19,$Q7,$N7,G7/100,$O7,$P7,G$25)</f>
        <v>1.917090722418785E-2</v>
      </c>
      <c r="H31" s="5">
        <f>_xludf.price($T$1,H19,$Q7,$N7,H7/100,$O7,$P7,H$25)</f>
        <v>1.5547740868521287E-2</v>
      </c>
      <c r="I31" s="5">
        <f>_xludf.price($T$1,I19,$Q7,$N7,I7/100,$O7,$P7,I$25)</f>
        <v>2.3483891233683218E-2</v>
      </c>
      <c r="J31" s="5">
        <f>_xludf.price($T$1,J19,$Q7,$N7,J7/100,$O7,$P7,J$25)</f>
        <v>3.7035944993137671E-2</v>
      </c>
      <c r="K31" s="5">
        <f>_xludf.price($T$1,K19,$Q7,$N7,K7/100,$O7,$P7,K$25)</f>
        <v>4.8396538177187365E-2</v>
      </c>
      <c r="L31" s="5">
        <f>_xludf.price($T$1,L19,$Q7,$N7,L7/100,$O7,$P7,L$25)</f>
        <v>6.8466598532821443E-2</v>
      </c>
    </row>
    <row r="32" spans="1:17" x14ac:dyDescent="0.2">
      <c r="A32" s="1" t="s">
        <v>18</v>
      </c>
      <c r="B32" s="5">
        <f>_xludf.price($T$1,B20,$Q8,$N8,B8/100,$O8,$P8,B$25)</f>
        <v>8.6224829226881905E-2</v>
      </c>
      <c r="C32" s="5">
        <f>_xludf.price($T$1,C20,$Q8,$N8,C8/100,$O8,$P8,C$25)</f>
        <v>6.8701777966812316E-2</v>
      </c>
      <c r="D32" s="5">
        <f>_xludf.price($T$1,D20,$Q8,$N8,D8/100,$O8,$P8,D$25)</f>
        <v>5.7902437300878962E-2</v>
      </c>
      <c r="E32" s="5">
        <f>_xludf.price($T$1,E20,$Q8,$N8,E8/100,$O8,$P8,E$25)</f>
        <v>4.3678026797752012E-2</v>
      </c>
      <c r="F32" s="5">
        <f>_xludf.price($T$1,F20,$Q8,$N8,F8/100,$O8,$P8,F$25)</f>
        <v>3.3938814321019195E-2</v>
      </c>
      <c r="G32" s="5">
        <f>_xludf.price($T$1,G20,$Q8,$N8,G8/100,$O8,$P8,G$25)</f>
        <v>2.3203441854741325E-2</v>
      </c>
      <c r="H32" s="5">
        <f>_xludf.price($T$1,H20,$Q8,$N8,H8/100,$O8,$P8,H$25)</f>
        <v>1.7445474213360734E-2</v>
      </c>
      <c r="I32" s="5">
        <f>_xludf.price($T$1,I20,$Q8,$N8,I8/100,$O8,$P8,I$25)</f>
        <v>2.6722557282539028E-2</v>
      </c>
      <c r="J32" s="5">
        <f>_xludf.price($T$1,J20,$Q8,$N8,J8/100,$O8,$P8,J$25)</f>
        <v>4.2736201828813103E-2</v>
      </c>
      <c r="K32" s="5">
        <f>_xludf.price($T$1,K20,$Q8,$N8,K8/100,$O8,$P8,K$25)</f>
        <v>5.6268451421818133E-2</v>
      </c>
      <c r="L32" s="5">
        <f>_xludf.price($T$1,L20,$Q8,$N8,L8/100,$O8,$P8,L$25)</f>
        <v>8.0312673563613934E-2</v>
      </c>
    </row>
    <row r="33" spans="1:12" x14ac:dyDescent="0.2">
      <c r="A33" s="1" t="s">
        <v>19</v>
      </c>
      <c r="B33" s="5">
        <f>_xludf.price($T$1,B21,$Q9,$N9,B9/100,$O9,$P9,B$25)</f>
        <v>0.11076038398113552</v>
      </c>
      <c r="C33" s="5">
        <f>_xludf.price($T$1,C21,$Q9,$N9,C9/100,$O9,$P9,C$25)</f>
        <v>8.8713418604595473E-2</v>
      </c>
      <c r="D33" s="5">
        <f>_xludf.price($T$1,D21,$Q9,$N9,D9/100,$O9,$P9,D$25)</f>
        <v>7.5052129937339673E-2</v>
      </c>
      <c r="E33" s="5">
        <f>_xludf.price($T$1,E21,$Q9,$N9,E9/100,$O9,$P9,E$25)</f>
        <v>5.7031834470795961E-2</v>
      </c>
      <c r="F33" s="5">
        <f>_xludf.price($T$1,F21,$Q9,$N9,F9/100,$O9,$P9,F$25)</f>
        <v>4.4607545903216472E-2</v>
      </c>
      <c r="G33" s="5">
        <f>_xludf.price($T$1,G21,$Q9,$N9,G9/100,$O9,$P9,G$25)</f>
        <v>3.0727163260512058E-2</v>
      </c>
      <c r="H33" s="5">
        <f>_xludf.price($T$1,H21,$Q9,$N9,H9/100,$O9,$P9,H$25)</f>
        <v>1.8765232122484266E-2</v>
      </c>
      <c r="I33" s="5">
        <f>_xludf.price($T$1,I21,$Q9,$N9,I9/100,$O9,$P9,I$25)</f>
        <v>3.0008513876332188E-2</v>
      </c>
      <c r="J33" s="5">
        <f>_xludf.price($T$1,J21,$Q9,$N9,J9/100,$O9,$P9,J$25)</f>
        <v>5.0048000865156261E-2</v>
      </c>
      <c r="K33" s="5">
        <f>_xludf.price($T$1,K21,$Q9,$N9,K9/100,$O9,$P9,K$25)</f>
        <v>6.7559292581243158E-2</v>
      </c>
      <c r="L33" s="5">
        <f>_xludf.price($T$1,L21,$Q9,$N9,L9/100,$O9,$P9,L$25)</f>
        <v>9.8457090589820551E-2</v>
      </c>
    </row>
    <row r="34" spans="1:12" x14ac:dyDescent="0.2">
      <c r="A34" s="1" t="s">
        <v>20</v>
      </c>
      <c r="B34" s="5">
        <f>_xludf.price($T$1,B22,$Q10,$N10,B10/100,$O10,$P10,B$25)</f>
        <v>0.14155622227982823</v>
      </c>
      <c r="C34" s="5">
        <f>_xludf.price($T$1,C22,$Q10,$N10,C10/100,$O10,$P10,C$25)</f>
        <v>0.11430636518079373</v>
      </c>
      <c r="D34" s="5">
        <f>_xludf.price($T$1,D22,$Q10,$N10,D10/100,$O10,$P10,D$25)</f>
        <v>9.7348346554538945E-2</v>
      </c>
      <c r="E34" s="5">
        <f>_xludf.price($T$1,E22,$Q10,$N10,E10/100,$O10,$P10,E$25)</f>
        <v>7.4654649252051342E-2</v>
      </c>
      <c r="F34" s="5">
        <f>_xludf.price($T$1,F22,$Q10,$N10,F10/100,$O10,$P10,F$25)</f>
        <v>5.882560170443607E-2</v>
      </c>
      <c r="G34" s="5">
        <f>_xludf.price($T$1,G22,$Q10,$N10,G10/100,$O10,$P10,G$25)</f>
        <v>4.0860806316883158E-2</v>
      </c>
      <c r="H34" s="5">
        <f>_xludf.price($T$1,H22,$Q10,$N10,H10/100,$O10,$P10,H$25)</f>
        <v>1.8549409930145755E-2</v>
      </c>
      <c r="I34" s="5">
        <f>_xludf.price($T$1,I22,$Q10,$N10,I10/100,$O10,$P10,I$25)</f>
        <v>3.193130331995897E-2</v>
      </c>
      <c r="J34" s="5">
        <f>_xludf.price($T$1,J22,$Q10,$N10,J10/100,$O10,$P10,J$25)</f>
        <v>5.6577818169213812E-2</v>
      </c>
      <c r="K34" s="5">
        <f>_xludf.price($T$1,K22,$Q10,$N10,K10/100,$O10,$P10,K$25)</f>
        <v>7.8222739351812898E-2</v>
      </c>
      <c r="L34" s="5">
        <f>_xludf.price($T$1,L22,$Q10,$N10,L10/100,$O10,$P10,L$25)</f>
        <v>0.11770011314733031</v>
      </c>
    </row>
    <row r="35" spans="1:12" x14ac:dyDescent="0.2">
      <c r="A35" s="1" t="s">
        <v>21</v>
      </c>
      <c r="B35" s="5">
        <f>_xludf.price($T$1,B23,$Q11,$N11,B11/100,$O11,$P11,B$25)</f>
        <v>0.17202763341932881</v>
      </c>
      <c r="C35" s="5">
        <f>_xludf.price($T$1,C23,$Q11,$N11,C11/100,$O11,$P11,C$25)</f>
        <v>0.13931670781310546</v>
      </c>
      <c r="D35" s="5">
        <f>_xludf.price($T$1,D23,$Q11,$N11,D11/100,$O11,$P11,D$25)</f>
        <v>0.11901259402125597</v>
      </c>
      <c r="E35" s="5">
        <f>_xludf.price($T$1,E23,$Q11,$N11,E11/100,$O11,$P11,E$25)</f>
        <v>9.1697843223508269E-2</v>
      </c>
      <c r="F35" s="5">
        <f>_xludf.price($T$1,F23,$Q11,$N11,F11/100,$O11,$P11,F$25)</f>
        <v>7.2515286163194137E-2</v>
      </c>
      <c r="G35" s="5">
        <f>_xludf.price($T$1,G23,$Q11,$N11,G11/100,$O11,$P11,G$25)</f>
        <v>5.0599775265583291E-2</v>
      </c>
      <c r="H35" s="5">
        <f>_xludf.price($T$1,H23,$Q11,$N11,H11/100,$O11,$P11,H$25)</f>
        <v>1.8577143344982283E-2</v>
      </c>
      <c r="I35" s="5">
        <f>_xludf.price($T$1,I23,$Q11,$N11,I11/100,$O11,$P11,I$25)</f>
        <v>3.4368169458443232E-2</v>
      </c>
      <c r="J35" s="5">
        <f>_xludf.price($T$1,J23,$Q11,$N11,J11/100,$O11,$P11,J$25)</f>
        <v>6.4365272525541917E-2</v>
      </c>
      <c r="K35" s="5">
        <f>_xludf.price($T$1,K23,$Q11,$N11,K11/100,$O11,$P11,K$25)</f>
        <v>9.1363888314594077E-2</v>
      </c>
      <c r="L35" s="5">
        <f>_xludf.price($T$1,L23,$Q11,$N11,L11/100,$O11,$P11,L$25)</f>
        <v>0.14109877126762049</v>
      </c>
    </row>
    <row r="37" spans="1:12" x14ac:dyDescent="0.2">
      <c r="A37" s="7" t="s">
        <v>43</v>
      </c>
    </row>
    <row r="38" spans="1:12" x14ac:dyDescent="0.2">
      <c r="A38" s="1" t="s">
        <v>12</v>
      </c>
      <c r="B38" s="4">
        <f>opt_delta($T$1,B14,$Q2,$N2,B2/100,$O2/100,$P2/100,B$25)</f>
        <v>0.95000224654095311</v>
      </c>
      <c r="C38" s="4">
        <f>opt_delta($T$1,C14,$Q2,$N2,C2/100,$O2/100,$P2/100,C$25)</f>
        <v>0.8999772818248355</v>
      </c>
      <c r="D38" s="4">
        <f>opt_delta($T$1,D14,$Q2,$N2,D2/100,$O2/100,$P2/100,D$25)</f>
        <v>0.84996467465877656</v>
      </c>
      <c r="E38" s="4">
        <f>opt_delta($T$1,E14,$Q2,$N2,E2/100,$O2/100,$P2/100,E$25)</f>
        <v>0.74993946032664693</v>
      </c>
      <c r="F38" s="4">
        <f>opt_delta($T$1,F14,$Q2,$N2,F2/100,$O2/100,$P2/100,F$25)</f>
        <v>0.64991424599452396</v>
      </c>
      <c r="G38" s="4">
        <f>opt_delta($T$1,G14,$Q2,$N2,G2/100,$O2/100,$P2/100,G$25)</f>
        <v>0.49987642449634151</v>
      </c>
      <c r="H38" s="4">
        <f>opt_delta($T$1,H14,$Q2,$N2,H2/100,$O2/100,$P2/100,H$25)</f>
        <v>-0.64991424599452341</v>
      </c>
      <c r="I38" s="4">
        <f>opt_delta($T$1,I14,$Q2,$N2,I2/100,$O2/100,$P2/100,I$25)</f>
        <v>-0.74993946032665315</v>
      </c>
      <c r="J38" s="4">
        <f>opt_delta($T$1,J14,$Q2,$N2,J2/100,$O2/100,$P2/100,J$25)</f>
        <v>-0.8499646746587769</v>
      </c>
      <c r="K38" s="4">
        <f>opt_delta($T$1,K14,$Q2,$N2,K2/100,$O2/100,$P2/100,K$25)</f>
        <v>-0.89997728182483638</v>
      </c>
      <c r="L38" s="4">
        <f>opt_delta($T$1,L14,$Q2,$N2,L2/100,$O2/100,$P2/100,L$25)</f>
        <v>-0.94998988899089976</v>
      </c>
    </row>
    <row r="39" spans="1:12" x14ac:dyDescent="0.2">
      <c r="A39" s="1" t="s">
        <v>13</v>
      </c>
      <c r="B39" s="4">
        <f>opt_delta($T$1,B15,$Q3,$N3,B3/100,$O3/100,$P3/100,B$25)</f>
        <v>0.95000502962787781</v>
      </c>
      <c r="C39" s="4">
        <f>opt_delta($T$1,C15,$Q3,$N3,C3/100,$O3/100,$P3/100,C$25)</f>
        <v>0.89994912908329494</v>
      </c>
      <c r="D39" s="4">
        <f>opt_delta($T$1,D15,$Q3,$N3,D3/100,$O3/100,$P3/100,D$25)</f>
        <v>0.84992089938637072</v>
      </c>
      <c r="E39" s="4">
        <f>opt_delta($T$1,E15,$Q3,$N3,E3/100,$O3/100,$P3/100,E$25)</f>
        <v>0.74986443999250618</v>
      </c>
      <c r="F39" s="4">
        <f>opt_delta($T$1,F15,$Q3,$N3,F3/100,$O3/100,$P3/100,F$25)</f>
        <v>0.64980798059864886</v>
      </c>
      <c r="G39" s="4">
        <f>opt_delta($T$1,G15,$Q3,$N3,G3/100,$O3/100,$P3/100,G$25)</f>
        <v>0.49972329150786116</v>
      </c>
      <c r="H39" s="4">
        <f>opt_delta($T$1,H15,$Q3,$N3,H3/100,$O3/100,$P3/100,H$25)</f>
        <v>-0.64980798059865208</v>
      </c>
      <c r="I39" s="4">
        <f>opt_delta($T$1,I15,$Q3,$N3,I3/100,$O3/100,$P3/100,I$25)</f>
        <v>-0.74986443999250907</v>
      </c>
      <c r="J39" s="4">
        <f>opt_delta($T$1,J15,$Q3,$N3,J3/100,$O3/100,$P3/100,J$25)</f>
        <v>-0.8499208993863695</v>
      </c>
      <c r="K39" s="4">
        <f>opt_delta($T$1,K15,$Q3,$N3,K3/100,$O3/100,$P3/100,K$25)</f>
        <v>-0.89994912908329616</v>
      </c>
      <c r="L39" s="4">
        <f>opt_delta($T$1,L15,$Q3,$N3,L3/100,$O3/100,$P3/100,L$25)</f>
        <v>-0.94997735878022482</v>
      </c>
    </row>
    <row r="40" spans="1:12" x14ac:dyDescent="0.2">
      <c r="A40" s="1" t="s">
        <v>14</v>
      </c>
      <c r="B40" s="4">
        <f>opt_delta($T$1,B16,$Q4,$N4,B4/100,$O4/100,$P4/100,B$25)</f>
        <v>0.95000691617746769</v>
      </c>
      <c r="C40" s="4">
        <f>opt_delta($T$1,C16,$Q4,$N4,C4/100,$O4/100,$P4/100,C$25)</f>
        <v>0.89993003990159071</v>
      </c>
      <c r="D40" s="4">
        <f>opt_delta($T$1,D16,$Q4,$N4,D4/100,$O4/100,$P4/100,D$25)</f>
        <v>0.84989121752993191</v>
      </c>
      <c r="E40" s="4">
        <f>opt_delta($T$1,E16,$Q4,$N4,E4/100,$O4/100,$P4/100,E$25)</f>
        <v>0.74981357278660787</v>
      </c>
      <c r="F40" s="4">
        <f>opt_delta($T$1,F16,$Q4,$N4,F4/100,$O4/100,$P4/100,F$25)</f>
        <v>0.64973592804328506</v>
      </c>
      <c r="G40" s="4">
        <f>opt_delta($T$1,G16,$Q4,$N4,G4/100,$O4/100,$P4/100,G$25)</f>
        <v>0.49961946092830645</v>
      </c>
      <c r="H40" s="4">
        <f>opt_delta($T$1,H16,$Q4,$N4,H4/100,$O4/100,$P4/100,H$25)</f>
        <v>-0.64973592804328684</v>
      </c>
      <c r="I40" s="4">
        <f>opt_delta($T$1,I16,$Q4,$N4,I4/100,$O4/100,$P4/100,I$25)</f>
        <v>-0.7498135727866061</v>
      </c>
      <c r="J40" s="4">
        <f>opt_delta($T$1,J16,$Q4,$N4,J4/100,$O4/100,$P4/100,J$25)</f>
        <v>-0.84989121752992891</v>
      </c>
      <c r="K40" s="4">
        <f>opt_delta($T$1,K16,$Q4,$N4,K4/100,$O4/100,$P4/100,K$25)</f>
        <v>-0.89993003990158837</v>
      </c>
      <c r="L40" s="4">
        <f>opt_delta($T$1,L16,$Q4,$N4,L4/100,$O4/100,$P4/100,L$25)</f>
        <v>-0.94996886227325139</v>
      </c>
    </row>
    <row r="41" spans="1:12" x14ac:dyDescent="0.2">
      <c r="A41" s="1" t="s">
        <v>15</v>
      </c>
      <c r="B41" s="4">
        <f>opt_delta($T$1,B17,$Q5,$N5,B5/100,$O5/100,$P5/100,B$25)</f>
        <v>0.95000918754168384</v>
      </c>
      <c r="C41" s="4">
        <f>opt_delta($T$1,C17,$Q5,$N5,C5/100,$O5/100,$P5/100,C$25)</f>
        <v>0.89990705104815272</v>
      </c>
      <c r="D41" s="4">
        <f>opt_delta($T$1,D17,$Q5,$N5,D5/100,$O5/100,$P5/100,D$25)</f>
        <v>0.84985547237951198</v>
      </c>
      <c r="E41" s="4">
        <f>opt_delta($T$1,E17,$Q5,$N5,E5/100,$O5/100,$P5/100,E$25)</f>
        <v>0.74975231504222617</v>
      </c>
      <c r="F41" s="4">
        <f>opt_delta($T$1,F17,$Q5,$N5,F5/100,$O5/100,$P5/100,F$25)</f>
        <v>0.64964915770494325</v>
      </c>
      <c r="G41" s="4">
        <f>opt_delta($T$1,G17,$Q5,$N5,G5/100,$O5/100,$P5/100,G$25)</f>
        <v>0.49949442169901204</v>
      </c>
      <c r="H41" s="4">
        <f>opt_delta($T$1,H17,$Q5,$N5,H5/100,$O5/100,$P5/100,H$25)</f>
        <v>-0.64964915770494214</v>
      </c>
      <c r="I41" s="4">
        <f>opt_delta($T$1,I17,$Q5,$N5,I5/100,$O5/100,$P5/100,I$25)</f>
        <v>-0.74975231504222495</v>
      </c>
      <c r="J41" s="4">
        <f>opt_delta($T$1,J17,$Q5,$N5,J5/100,$O5/100,$P5/100,J$25)</f>
        <v>-0.84985547237951253</v>
      </c>
      <c r="K41" s="4">
        <f>opt_delta($T$1,K17,$Q5,$N5,K5/100,$O5/100,$P5/100,K$25)</f>
        <v>-0.89990705104815405</v>
      </c>
      <c r="L41" s="4">
        <f>opt_delta($T$1,L17,$Q5,$N5,L5/100,$O5/100,$P5/100,L$25)</f>
        <v>-0.94995862971679634</v>
      </c>
    </row>
    <row r="42" spans="1:12" x14ac:dyDescent="0.2">
      <c r="A42" s="1" t="s">
        <v>16</v>
      </c>
      <c r="B42" s="4">
        <f>opt_delta($T$1,B18,$Q6,$N6,B6/100,$O6/100,$P6/100,B$25)</f>
        <v>0.95001912518062603</v>
      </c>
      <c r="C42" s="4">
        <f>opt_delta($T$1,C18,$Q6,$N6,C6/100,$O6/100,$P6/100,C$25)</f>
        <v>0.89980639474146673</v>
      </c>
      <c r="D42" s="4">
        <f>opt_delta($T$1,D18,$Q6,$N6,D6/100,$O6/100,$P6/100,D$25)</f>
        <v>0.84969896699930869</v>
      </c>
      <c r="E42" s="4">
        <f>opt_delta($T$1,E18,$Q6,$N6,E6/100,$O6/100,$P6/100,E$25)</f>
        <v>0.74948411151499394</v>
      </c>
      <c r="F42" s="4">
        <f>opt_delta($T$1,F18,$Q6,$N6,F6/100,$O6/100,$P6/100,F$25)</f>
        <v>0.64926925603067631</v>
      </c>
      <c r="G42" s="4">
        <f>opt_delta($T$1,G18,$Q6,$N6,G6/100,$O6/100,$P6/100,G$25)</f>
        <v>0.49894697280420275</v>
      </c>
      <c r="H42" s="4">
        <f>opt_delta($T$1,H18,$Q6,$N6,H6/100,$O6/100,$P6/100,H$25)</f>
        <v>-0.64926925603067742</v>
      </c>
      <c r="I42" s="4">
        <f>opt_delta($T$1,I18,$Q6,$N6,I6/100,$O6/100,$P6/100,I$25)</f>
        <v>-0.74948411151499228</v>
      </c>
      <c r="J42" s="4">
        <f>opt_delta($T$1,J18,$Q6,$N6,J6/100,$O6/100,$P6/100,J$25)</f>
        <v>-0.84969896699930836</v>
      </c>
      <c r="K42" s="4">
        <f>opt_delta($T$1,K18,$Q6,$N6,K6/100,$O6/100,$P6/100,K$25)</f>
        <v>-0.89980639474146695</v>
      </c>
      <c r="L42" s="4">
        <f>opt_delta($T$1,L18,$Q6,$N6,L6/100,$O6/100,$P6/100,L$25)</f>
        <v>-0.94991382248362477</v>
      </c>
    </row>
    <row r="43" spans="1:12" x14ac:dyDescent="0.2">
      <c r="A43" s="1" t="s">
        <v>17</v>
      </c>
      <c r="B43" s="4">
        <f>opt_delta($T$1,B19,$Q7,$N7,B7/100,$O7/100,$P7/100,B$25)</f>
        <v>0.95002805788875566</v>
      </c>
      <c r="C43" s="4">
        <f>opt_delta($T$1,C19,$Q7,$N7,C7/100,$O7/100,$P7/100,C$25)</f>
        <v>0.89971581175754922</v>
      </c>
      <c r="D43" s="4">
        <f>opt_delta($T$1,D19,$Q7,$N7,D7/100,$O7/100,$P7/100,D$25)</f>
        <v>0.84955812989335089</v>
      </c>
      <c r="E43" s="4">
        <f>opt_delta($T$1,E19,$Q7,$N7,E7/100,$O7/100,$P7/100,E$25)</f>
        <v>0.74924276616495222</v>
      </c>
      <c r="F43" s="4">
        <f>opt_delta($T$1,F19,$Q7,$N7,F7/100,$O7/100,$P7/100,F$25)</f>
        <v>0.648927402436558</v>
      </c>
      <c r="G43" s="4">
        <f>opt_delta($T$1,G19,$Q7,$N7,G7/100,$O7/100,$P7/100,G$25)</f>
        <v>0.49845435684396111</v>
      </c>
      <c r="H43" s="4">
        <f>opt_delta($T$1,H19,$Q7,$N7,H7/100,$O7/100,$P7/100,H$25)</f>
        <v>-0.64892740243655644</v>
      </c>
      <c r="I43" s="4">
        <f>opt_delta($T$1,I19,$Q7,$N7,I7/100,$O7/100,$P7/100,I$25)</f>
        <v>-0.749242766164953</v>
      </c>
      <c r="J43" s="4">
        <f>opt_delta($T$1,J19,$Q7,$N7,J7/100,$O7/100,$P7/100,J$25)</f>
        <v>-0.84955812989335022</v>
      </c>
      <c r="K43" s="4">
        <f>opt_delta($T$1,K19,$Q7,$N7,K7/100,$O7/100,$P7/100,K$25)</f>
        <v>-0.89971581175754867</v>
      </c>
      <c r="L43" s="4">
        <f>opt_delta($T$1,L19,$Q7,$N7,L7/100,$O7/100,$P7/100,L$25)</f>
        <v>-0.94987349362174722</v>
      </c>
    </row>
    <row r="44" spans="1:12" x14ac:dyDescent="0.2">
      <c r="A44" s="1" t="s">
        <v>18</v>
      </c>
      <c r="B44" s="4">
        <f>opt_delta($T$1,B20,$Q8,$N8,B8/100,$O8/100,$P8/100,B$25)</f>
        <v>0.95003582063362246</v>
      </c>
      <c r="C44" s="4">
        <f>opt_delta($T$1,C20,$Q8,$N8,C8/100,$O8/100,$P8/100,C$25)</f>
        <v>0.89963701176875444</v>
      </c>
      <c r="D44" s="4">
        <f>opt_delta($T$1,D20,$Q8,$N8,D8/100,$O8/100,$P8/100,D$25)</f>
        <v>0.8494356172571158</v>
      </c>
      <c r="E44" s="4">
        <f>opt_delta($T$1,E20,$Q8,$N8,E8/100,$O8/100,$P8/100,E$25)</f>
        <v>0.74903282823384054</v>
      </c>
      <c r="F44" s="4">
        <f>opt_delta($T$1,F20,$Q8,$N8,F8/100,$O8/100,$P8/100,F$25)</f>
        <v>0.64863003921056361</v>
      </c>
      <c r="G44" s="4">
        <f>opt_delta($T$1,G20,$Q8,$N8,G8/100,$O8/100,$P8/100,G$25)</f>
        <v>0.49802585567565166</v>
      </c>
      <c r="H44" s="4">
        <f>opt_delta($T$1,H20,$Q8,$N8,H8/100,$O8/100,$P8/100,H$25)</f>
        <v>-0.64863003921056428</v>
      </c>
      <c r="I44" s="4">
        <f>opt_delta($T$1,I20,$Q8,$N8,I8/100,$O8/100,$P8/100,I$25)</f>
        <v>-0.74903282823384065</v>
      </c>
      <c r="J44" s="4">
        <f>opt_delta($T$1,J20,$Q8,$N8,J8/100,$O8/100,$P8/100,J$25)</f>
        <v>-0.8494356172571158</v>
      </c>
      <c r="K44" s="4">
        <f>opt_delta($T$1,K20,$Q8,$N8,K8/100,$O8/100,$P8/100,K$25)</f>
        <v>-0.89963701176875444</v>
      </c>
      <c r="L44" s="4">
        <f>opt_delta($T$1,L20,$Q8,$N8,L8/100,$O8/100,$P8/100,L$25)</f>
        <v>-0.94983840628039229</v>
      </c>
    </row>
    <row r="45" spans="1:12" x14ac:dyDescent="0.2">
      <c r="A45" s="1" t="s">
        <v>19</v>
      </c>
      <c r="B45" s="4">
        <f>opt_delta($T$1,B21,$Q9,$N9,B9/100,$O9/100,$P9/100,B$25)</f>
        <v>0.95005490148842253</v>
      </c>
      <c r="C45" s="4">
        <f>opt_delta($T$1,C21,$Q9,$N9,C9/100,$O9/100,$P9/100,C$25)</f>
        <v>0.89944300006083111</v>
      </c>
      <c r="D45" s="4">
        <f>opt_delta($T$1,D21,$Q9,$N9,D9/100,$O9/100,$P9/100,D$25)</f>
        <v>0.84913399916097743</v>
      </c>
      <c r="E45" s="4">
        <f>opt_delta($T$1,E21,$Q9,$N9,E9/100,$O9/100,$P9/100,E$25)</f>
        <v>0.74851599736127061</v>
      </c>
      <c r="F45" s="4">
        <f>opt_delta($T$1,F21,$Q9,$N9,F9/100,$O9/100,$P9/100,F$25)</f>
        <v>0.64789799556156402</v>
      </c>
      <c r="G45" s="4">
        <f>opt_delta($T$1,G21,$Q9,$N9,G9/100,$O9/100,$P9/100,G$25)</f>
        <v>0.49697099286200408</v>
      </c>
      <c r="H45" s="4">
        <f>opt_delta($T$1,H21,$Q9,$N9,H9/100,$O9/100,$P9/100,H$25)</f>
        <v>-0.64789799556156402</v>
      </c>
      <c r="I45" s="4">
        <f>opt_delta($T$1,I21,$Q9,$N9,I9/100,$O9/100,$P9/100,I$25)</f>
        <v>-0.7485159973612705</v>
      </c>
      <c r="J45" s="4">
        <f>opt_delta($T$1,J21,$Q9,$N9,J9/100,$O9/100,$P9/100,J$25)</f>
        <v>-0.84913399916097732</v>
      </c>
      <c r="K45" s="4">
        <f>opt_delta($T$1,K21,$Q9,$N9,K9/100,$O9/100,$P9/100,K$25)</f>
        <v>-0.899443000060831</v>
      </c>
      <c r="L45" s="4">
        <f>opt_delta($T$1,L21,$Q9,$N9,L9/100,$O9/100,$P9/100,L$25)</f>
        <v>-0.94975200096068435</v>
      </c>
    </row>
    <row r="46" spans="1:12" x14ac:dyDescent="0.2">
      <c r="A46" s="1" t="s">
        <v>20</v>
      </c>
      <c r="B46" s="4">
        <f>opt_delta($T$1,B22,$Q10,$N10,B10/100,$O10/100,$P10/100,B$25)</f>
        <v>0.95008383847084987</v>
      </c>
      <c r="C46" s="4">
        <f>opt_delta($T$1,C22,$Q10,$N10,C10/100,$O10/100,$P10/100,C$25)</f>
        <v>0.89914789976246434</v>
      </c>
      <c r="D46" s="4">
        <f>opt_delta($T$1,D22,$Q10,$N10,D10/100,$O10/100,$P10/100,D$25)</f>
        <v>0.84867527247439822</v>
      </c>
      <c r="E46" s="4">
        <f>opt_delta($T$1,E22,$Q10,$N10,E10/100,$O10/100,$P10/100,E$25)</f>
        <v>0.74773001789826721</v>
      </c>
      <c r="F46" s="4">
        <f>opt_delta($T$1,F22,$Q10,$N10,F10/100,$O10/100,$P10/100,F$25)</f>
        <v>0.64678476332213575</v>
      </c>
      <c r="G46" s="4">
        <f>opt_delta($T$1,G22,$Q10,$N10,G10/100,$O10/100,$P10/100,G$25)</f>
        <v>0.49536688145793883</v>
      </c>
      <c r="H46" s="4">
        <f>opt_delta($T$1,H22,$Q10,$N10,H10/100,$O10/100,$P10/100,H$25)</f>
        <v>-0.64678476332213608</v>
      </c>
      <c r="I46" s="4">
        <f>opt_delta($T$1,I22,$Q10,$N10,I10/100,$O10/100,$P10/100,I$25)</f>
        <v>-0.74773001789826732</v>
      </c>
      <c r="J46" s="4">
        <f>opt_delta($T$1,J22,$Q10,$N10,J10/100,$O10/100,$P10/100,J$25)</f>
        <v>-0.84867527247439944</v>
      </c>
      <c r="K46" s="4">
        <f>opt_delta($T$1,K22,$Q10,$N10,K10/100,$O10/100,$P10/100,K$25)</f>
        <v>-0.89914789976246456</v>
      </c>
      <c r="L46" s="4">
        <f>opt_delta($T$1,L22,$Q10,$N10,L10/100,$O10/100,$P10/100,L$25)</f>
        <v>-0.94962052705053035</v>
      </c>
    </row>
    <row r="47" spans="1:12" x14ac:dyDescent="0.2">
      <c r="A47" s="1" t="s">
        <v>21</v>
      </c>
      <c r="B47" s="4">
        <f>opt_delta($T$1,B23,$Q11,$N11,B11/100,$O11/100,$P11/100,B$25)</f>
        <v>0.9501113361208654</v>
      </c>
      <c r="C47" s="4">
        <f>opt_delta($T$1,C23,$Q11,$N11,C11/100,$O11/100,$P11/100,C$25)</f>
        <v>0.89886650041951166</v>
      </c>
      <c r="D47" s="4">
        <f>opt_delta($T$1,D23,$Q11,$N11,D11/100,$O11/100,$P11/100,D$25)</f>
        <v>0.84823789680368711</v>
      </c>
      <c r="E47" s="4">
        <f>opt_delta($T$1,E23,$Q11,$N11,E11/100,$O11/100,$P11/100,E$25)</f>
        <v>0.74698068957203889</v>
      </c>
      <c r="F47" s="4">
        <f>opt_delta($T$1,F23,$Q11,$N11,F11/100,$O11/100,$P11/100,F$25)</f>
        <v>0.64572348234039068</v>
      </c>
      <c r="G47" s="4">
        <f>opt_delta($T$1,G23,$Q11,$N11,G11/100,$O11/100,$P11/100,G$25)</f>
        <v>0.49383767149291846</v>
      </c>
      <c r="H47" s="4">
        <f>opt_delta($T$1,H23,$Q11,$N11,H11/100,$O11/100,$P11/100,H$25)</f>
        <v>-0.64572348234039079</v>
      </c>
      <c r="I47" s="4">
        <f>opt_delta($T$1,I23,$Q11,$N11,I11/100,$O11/100,$P11/100,I$25)</f>
        <v>-0.74698068957203934</v>
      </c>
      <c r="J47" s="4">
        <f>opt_delta($T$1,J23,$Q11,$N11,J11/100,$O11/100,$P11/100,J$25)</f>
        <v>-0.84823789680368744</v>
      </c>
      <c r="K47" s="4">
        <f>opt_delta($T$1,K23,$Q11,$N11,K11/100,$O11/100,$P11/100,K$25)</f>
        <v>-0.8988665004195121</v>
      </c>
      <c r="L47" s="4">
        <f>opt_delta($T$1,L23,$Q11,$N11,L11/100,$O11/100,$P11/100,L$25)</f>
        <v>-0.94949510403533632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F111"/>
  <sheetViews>
    <sheetView tabSelected="1" topLeftCell="A79" workbookViewId="0">
      <selection activeCell="B102" sqref="B102:B111"/>
    </sheetView>
  </sheetViews>
  <sheetFormatPr baseColWidth="10" defaultRowHeight="13" x14ac:dyDescent="0.15"/>
  <sheetData>
    <row r="1" spans="1:6" ht="16" x14ac:dyDescent="0.2">
      <c r="A1" s="1" t="s">
        <v>38</v>
      </c>
      <c r="B1" s="1" t="s">
        <v>39</v>
      </c>
      <c r="C1" s="1" t="s">
        <v>37</v>
      </c>
      <c r="D1" s="1" t="s">
        <v>40</v>
      </c>
      <c r="E1" s="1" t="s">
        <v>41</v>
      </c>
      <c r="F1" s="1" t="s">
        <v>42</v>
      </c>
    </row>
    <row r="2" spans="1:6" x14ac:dyDescent="0.15">
      <c r="A2" s="17">
        <f>Feuil1!B26</f>
        <v>1.7063971976291947E-2</v>
      </c>
      <c r="B2" s="17">
        <f>Feuil1!B14</f>
        <v>0.95965704818365971</v>
      </c>
      <c r="C2" s="17">
        <v>1.9230769230769232E-2</v>
      </c>
      <c r="D2" s="17">
        <v>7.0699999999999999E-3</v>
      </c>
      <c r="E2" s="17">
        <v>-1.298E-2</v>
      </c>
      <c r="F2" s="17">
        <v>1</v>
      </c>
    </row>
    <row r="3" spans="1:6" x14ac:dyDescent="0.15">
      <c r="A3" s="17">
        <f>Feuil1!B27</f>
        <v>2.4392444123414458E-2</v>
      </c>
      <c r="B3" s="17">
        <f>Feuil1!B15</f>
        <v>0.95276023251411479</v>
      </c>
      <c r="C3" s="17">
        <v>3.8461538461538464E-2</v>
      </c>
      <c r="D3" s="17">
        <v>5.8399999999999997E-3</v>
      </c>
      <c r="E3" s="17">
        <v>-1.453E-2</v>
      </c>
      <c r="F3" s="17">
        <v>1</v>
      </c>
    </row>
    <row r="4" spans="1:6" x14ac:dyDescent="0.15">
      <c r="A4" s="17">
        <f>Feuil1!B28</f>
        <v>3.1225974641238663E-2</v>
      </c>
      <c r="B4" s="17">
        <f>Feuil1!B16</f>
        <v>0.94634694332611302</v>
      </c>
      <c r="C4" s="17">
        <v>5.7692307692307696E-2</v>
      </c>
      <c r="D4" s="17">
        <v>7.1199999999999996E-3</v>
      </c>
      <c r="E4" s="17">
        <v>-1.332E-2</v>
      </c>
      <c r="F4" s="17">
        <v>1</v>
      </c>
    </row>
    <row r="5" spans="1:6" x14ac:dyDescent="0.15">
      <c r="A5" s="17">
        <f>Feuil1!B29</f>
        <v>4.0045065687027814E-2</v>
      </c>
      <c r="B5" s="17">
        <f>Feuil1!B17</f>
        <v>0.93810260844893623</v>
      </c>
      <c r="C5" s="17">
        <v>8.3333333333333329E-2</v>
      </c>
      <c r="D5" s="17">
        <v>8.6700000000000006E-3</v>
      </c>
      <c r="E5" s="17">
        <v>-1.225E-2</v>
      </c>
      <c r="F5" s="17">
        <v>1</v>
      </c>
    </row>
    <row r="6" spans="1:6" x14ac:dyDescent="0.15">
      <c r="A6" s="17">
        <f>Feuil1!B30</f>
        <v>5.6565108042597401E-2</v>
      </c>
      <c r="B6" s="17">
        <f>Feuil1!B18</f>
        <v>0.92349872992389603</v>
      </c>
      <c r="C6" s="17">
        <v>0.16666666666666666</v>
      </c>
      <c r="D6" s="17">
        <v>1.0019999999999999E-2</v>
      </c>
      <c r="E6" s="17">
        <v>-1.2749999999999999E-2</v>
      </c>
      <c r="F6" s="17">
        <v>1</v>
      </c>
    </row>
    <row r="7" spans="1:6" x14ac:dyDescent="0.15">
      <c r="A7" s="17">
        <f>Feuil1!B31</f>
        <v>7.2319008812823493E-2</v>
      </c>
      <c r="B7" s="17">
        <f>Feuil1!B19</f>
        <v>0.90947594450037217</v>
      </c>
      <c r="C7" s="17">
        <v>0.25</v>
      </c>
      <c r="D7" s="17">
        <v>1.023E-2</v>
      </c>
      <c r="E7" s="17">
        <v>-1.247E-2</v>
      </c>
      <c r="F7" s="17">
        <v>1</v>
      </c>
    </row>
    <row r="8" spans="1:6" x14ac:dyDescent="0.15">
      <c r="A8" s="17">
        <f>Feuil1!B32</f>
        <v>8.6224829226881905E-2</v>
      </c>
      <c r="B8" s="17">
        <f>Feuil1!B20</f>
        <v>0.89724777522253307</v>
      </c>
      <c r="C8" s="17">
        <v>0.33333333333333331</v>
      </c>
      <c r="D8" s="17">
        <v>1.065E-2</v>
      </c>
      <c r="E8" s="17">
        <v>-1.1939999999999999E-2</v>
      </c>
      <c r="F8" s="17">
        <v>1</v>
      </c>
    </row>
    <row r="9" spans="1:6" x14ac:dyDescent="0.15">
      <c r="A9" s="17">
        <f>Feuil1!B33</f>
        <v>0.11076038398113552</v>
      </c>
      <c r="B9" s="17">
        <f>Feuil1!B21</f>
        <v>0.87633070152400161</v>
      </c>
      <c r="C9" s="17">
        <v>0.5</v>
      </c>
      <c r="D9" s="17">
        <v>1.116E-2</v>
      </c>
      <c r="E9" s="17">
        <v>-1.2200000000000001E-2</v>
      </c>
      <c r="F9" s="17">
        <v>1</v>
      </c>
    </row>
    <row r="10" spans="1:6" x14ac:dyDescent="0.15">
      <c r="A10" s="17">
        <f>Feuil1!B34</f>
        <v>0.14155622227982823</v>
      </c>
      <c r="B10" s="17">
        <f>Feuil1!B22</f>
        <v>0.85089899027856686</v>
      </c>
      <c r="C10" s="17">
        <v>0.75</v>
      </c>
      <c r="D10" s="17">
        <v>1.166E-2</v>
      </c>
      <c r="E10" s="17">
        <v>-1.242E-2</v>
      </c>
      <c r="F10" s="17">
        <v>1</v>
      </c>
    </row>
    <row r="11" spans="1:6" x14ac:dyDescent="0.15">
      <c r="A11" s="17">
        <f>Feuil1!B35</f>
        <v>0.17202763341932881</v>
      </c>
      <c r="B11" s="17">
        <f>Feuil1!B23</f>
        <v>0.82555612307333681</v>
      </c>
      <c r="C11" s="17">
        <v>1</v>
      </c>
      <c r="D11" s="17">
        <v>1.197E-2</v>
      </c>
      <c r="E11" s="17">
        <v>-1.2370000000000001E-2</v>
      </c>
      <c r="F11" s="17">
        <v>1</v>
      </c>
    </row>
    <row r="12" spans="1:6" x14ac:dyDescent="0.15">
      <c r="A12" s="17">
        <f>Feuil1!C26</f>
        <v>1.3437978988926957E-2</v>
      </c>
      <c r="B12" s="17">
        <f>Feuil1!C14</f>
        <v>0.96349886936635176</v>
      </c>
      <c r="C12" s="17">
        <v>1.9230769230769232E-2</v>
      </c>
      <c r="D12" s="17">
        <v>7.0699999999999999E-3</v>
      </c>
      <c r="E12" s="17">
        <v>-1.298E-2</v>
      </c>
      <c r="F12" s="17">
        <v>1</v>
      </c>
    </row>
    <row r="13" spans="1:6" x14ac:dyDescent="0.15">
      <c r="A13" s="17">
        <f>Feuil1!C27</f>
        <v>1.9260845807829718E-2</v>
      </c>
      <c r="B13" s="17">
        <f>Feuil1!C15</f>
        <v>0.95817203171490806</v>
      </c>
      <c r="C13" s="17">
        <v>3.8461538461538464E-2</v>
      </c>
      <c r="D13" s="17">
        <v>5.8399999999999997E-3</v>
      </c>
      <c r="E13" s="17">
        <v>-1.453E-2</v>
      </c>
      <c r="F13" s="17">
        <v>1</v>
      </c>
    </row>
    <row r="14" spans="1:6" x14ac:dyDescent="0.15">
      <c r="A14" s="17">
        <f>Feuil1!C28</f>
        <v>2.4760472286275537E-2</v>
      </c>
      <c r="B14" s="17">
        <f>Feuil1!C16</f>
        <v>0.9531536133359485</v>
      </c>
      <c r="C14" s="17">
        <v>5.7692307692307696E-2</v>
      </c>
      <c r="D14" s="17">
        <v>7.1199999999999996E-3</v>
      </c>
      <c r="E14" s="17">
        <v>-1.332E-2</v>
      </c>
      <c r="F14" s="17">
        <v>1</v>
      </c>
    </row>
    <row r="15" spans="1:6" x14ac:dyDescent="0.15">
      <c r="A15" s="17">
        <f>Feuil1!C29</f>
        <v>3.1701408624302152E-2</v>
      </c>
      <c r="B15" s="17">
        <f>Feuil1!C17</f>
        <v>0.94684638506167096</v>
      </c>
      <c r="C15" s="17">
        <v>8.3333333333333329E-2</v>
      </c>
      <c r="D15" s="17">
        <v>8.6700000000000006E-3</v>
      </c>
      <c r="E15" s="17">
        <v>-1.225E-2</v>
      </c>
      <c r="F15" s="17">
        <v>1</v>
      </c>
    </row>
    <row r="16" spans="1:6" x14ac:dyDescent="0.15">
      <c r="A16" s="17">
        <f>Feuil1!C30</f>
        <v>4.4985078160394543E-2</v>
      </c>
      <c r="B16" s="17">
        <f>Feuil1!C18</f>
        <v>0.9354930837448453</v>
      </c>
      <c r="C16" s="17">
        <v>0.16666666666666666</v>
      </c>
      <c r="D16" s="17">
        <v>1.0019999999999999E-2</v>
      </c>
      <c r="E16" s="17">
        <v>-1.2749999999999999E-2</v>
      </c>
      <c r="F16" s="17">
        <v>1</v>
      </c>
    </row>
    <row r="17" spans="1:6" x14ac:dyDescent="0.15">
      <c r="A17" s="17">
        <f>Feuil1!C31</f>
        <v>5.7458233394632963E-2</v>
      </c>
      <c r="B17" s="17">
        <f>Feuil1!C19</f>
        <v>0.92476593201397306</v>
      </c>
      <c r="C17" s="17">
        <v>0.25</v>
      </c>
      <c r="D17" s="17">
        <v>1.023E-2</v>
      </c>
      <c r="E17" s="17">
        <v>-1.247E-2</v>
      </c>
      <c r="F17" s="17">
        <v>1</v>
      </c>
    </row>
    <row r="18" spans="1:6" x14ac:dyDescent="0.15">
      <c r="A18" s="17">
        <f>Feuil1!C32</f>
        <v>6.8701777966812316E-2</v>
      </c>
      <c r="B18" s="17">
        <f>Feuil1!C20</f>
        <v>0.91522494880504079</v>
      </c>
      <c r="C18" s="17">
        <v>0.33333333333333331</v>
      </c>
      <c r="D18" s="17">
        <v>1.065E-2</v>
      </c>
      <c r="E18" s="17">
        <v>-1.1939999999999999E-2</v>
      </c>
      <c r="F18" s="17">
        <v>1</v>
      </c>
    </row>
    <row r="19" spans="1:6" x14ac:dyDescent="0.15">
      <c r="A19" s="17">
        <f>Feuil1!C33</f>
        <v>8.8713418604595473E-2</v>
      </c>
      <c r="B19" s="17">
        <f>Feuil1!C21</f>
        <v>0.89876662042894162</v>
      </c>
      <c r="C19" s="17">
        <v>0.5</v>
      </c>
      <c r="D19" s="17">
        <v>1.116E-2</v>
      </c>
      <c r="E19" s="17">
        <v>-1.2200000000000001E-2</v>
      </c>
      <c r="F19" s="17">
        <v>1</v>
      </c>
    </row>
    <row r="20" spans="1:6" x14ac:dyDescent="0.15">
      <c r="A20" s="17">
        <f>Feuil1!C34</f>
        <v>0.11430636518079373</v>
      </c>
      <c r="B20" s="17">
        <f>Feuil1!C22</f>
        <v>0.87835778847215695</v>
      </c>
      <c r="C20" s="17">
        <v>0.75</v>
      </c>
      <c r="D20" s="17">
        <v>1.166E-2</v>
      </c>
      <c r="E20" s="17">
        <v>-1.242E-2</v>
      </c>
      <c r="F20" s="17">
        <v>1</v>
      </c>
    </row>
    <row r="21" spans="1:6" x14ac:dyDescent="0.15">
      <c r="A21" s="17">
        <f>Feuil1!C35</f>
        <v>0.13931670781310546</v>
      </c>
      <c r="B21" s="17">
        <f>Feuil1!C23</f>
        <v>0.85834821033494357</v>
      </c>
      <c r="C21" s="17">
        <v>1</v>
      </c>
      <c r="D21" s="17">
        <v>1.197E-2</v>
      </c>
      <c r="E21" s="17">
        <v>-1.2370000000000001E-2</v>
      </c>
      <c r="F21" s="17">
        <v>1</v>
      </c>
    </row>
    <row r="22" spans="1:6" x14ac:dyDescent="0.15">
      <c r="A22" s="17">
        <f>Feuil1!D26</f>
        <v>1.1208506765281623E-2</v>
      </c>
      <c r="B22" s="17">
        <f>Feuil1!D14</f>
        <v>0.96597703409176794</v>
      </c>
      <c r="C22" s="17">
        <v>1.9230769230769232E-2</v>
      </c>
      <c r="D22" s="17">
        <v>7.0699999999999999E-3</v>
      </c>
      <c r="E22" s="17">
        <v>-1.298E-2</v>
      </c>
      <c r="F22" s="17">
        <v>1</v>
      </c>
    </row>
    <row r="23" spans="1:6" x14ac:dyDescent="0.15">
      <c r="A23" s="17">
        <f>Feuil1!D27</f>
        <v>1.6103040127959711E-2</v>
      </c>
      <c r="B23" s="17">
        <f>Feuil1!D15</f>
        <v>0.96165558394192951</v>
      </c>
      <c r="C23" s="17">
        <v>3.8461538461538464E-2</v>
      </c>
      <c r="D23" s="17">
        <v>5.8399999999999997E-3</v>
      </c>
      <c r="E23" s="17">
        <v>-1.453E-2</v>
      </c>
      <c r="F23" s="17">
        <v>1</v>
      </c>
    </row>
    <row r="24" spans="1:6" x14ac:dyDescent="0.15">
      <c r="A24" s="17">
        <f>Feuil1!D28</f>
        <v>2.0763671673062811E-2</v>
      </c>
      <c r="B24" s="17">
        <f>Feuil1!D16</f>
        <v>0.95755013809196809</v>
      </c>
      <c r="C24" s="17">
        <v>5.7692307692307696E-2</v>
      </c>
      <c r="D24" s="17">
        <v>7.1199999999999996E-3</v>
      </c>
      <c r="E24" s="17">
        <v>-1.332E-2</v>
      </c>
      <c r="F24" s="17">
        <v>1</v>
      </c>
    </row>
    <row r="25" spans="1:6" x14ac:dyDescent="0.15">
      <c r="A25" s="17">
        <f>Feuil1!D29</f>
        <v>2.6553211263627308E-2</v>
      </c>
      <c r="B25" s="17">
        <f>Feuil1!D17</f>
        <v>0.95246307803114338</v>
      </c>
      <c r="C25" s="17">
        <v>8.3333333333333329E-2</v>
      </c>
      <c r="D25" s="17">
        <v>8.6700000000000006E-3</v>
      </c>
      <c r="E25" s="17">
        <v>-1.225E-2</v>
      </c>
      <c r="F25" s="17">
        <v>1</v>
      </c>
    </row>
    <row r="26" spans="1:6" x14ac:dyDescent="0.15">
      <c r="A26" s="17">
        <f>Feuil1!D30</f>
        <v>3.7842295999072517E-2</v>
      </c>
      <c r="B26" s="17">
        <f>Feuil1!D18</f>
        <v>0.94313362162398706</v>
      </c>
      <c r="C26" s="17">
        <v>0.16666666666666666</v>
      </c>
      <c r="D26" s="17">
        <v>1.0019999999999999E-2</v>
      </c>
      <c r="E26" s="17">
        <v>-1.2749999999999999E-2</v>
      </c>
      <c r="F26" s="17">
        <v>1</v>
      </c>
    </row>
    <row r="27" spans="1:6" x14ac:dyDescent="0.15">
      <c r="A27" s="17">
        <f>Feuil1!D31</f>
        <v>4.8296788056590434E-2</v>
      </c>
      <c r="B27" s="17">
        <f>Feuil1!D19</f>
        <v>0.93444351600295694</v>
      </c>
      <c r="C27" s="17">
        <v>0.25</v>
      </c>
      <c r="D27" s="17">
        <v>1.023E-2</v>
      </c>
      <c r="E27" s="17">
        <v>-1.247E-2</v>
      </c>
      <c r="F27" s="17">
        <v>1</v>
      </c>
    </row>
    <row r="28" spans="1:6" x14ac:dyDescent="0.15">
      <c r="A28" s="17">
        <f>Feuil1!D32</f>
        <v>5.7902437300878962E-2</v>
      </c>
      <c r="B28" s="17">
        <f>Feuil1!D20</f>
        <v>0.92657526790879841</v>
      </c>
      <c r="C28" s="17">
        <v>0.33333333333333331</v>
      </c>
      <c r="D28" s="17">
        <v>1.065E-2</v>
      </c>
      <c r="E28" s="17">
        <v>-1.1939999999999999E-2</v>
      </c>
      <c r="F28" s="17">
        <v>1</v>
      </c>
    </row>
    <row r="29" spans="1:6" x14ac:dyDescent="0.15">
      <c r="A29" s="17">
        <f>Feuil1!D33</f>
        <v>7.5052129937339673E-2</v>
      </c>
      <c r="B29" s="17">
        <f>Feuil1!D21</f>
        <v>0.91291240998303236</v>
      </c>
      <c r="C29" s="17">
        <v>0.5</v>
      </c>
      <c r="D29" s="17">
        <v>1.116E-2</v>
      </c>
      <c r="E29" s="17">
        <v>-1.2200000000000001E-2</v>
      </c>
      <c r="F29" s="17">
        <v>1</v>
      </c>
    </row>
    <row r="30" spans="1:6" x14ac:dyDescent="0.15">
      <c r="A30" s="17">
        <f>Feuil1!D34</f>
        <v>9.7348346554538945E-2</v>
      </c>
      <c r="B30" s="17">
        <f>Feuil1!D22</f>
        <v>0.89561200101762961</v>
      </c>
      <c r="C30" s="17">
        <v>0.75</v>
      </c>
      <c r="D30" s="17">
        <v>1.166E-2</v>
      </c>
      <c r="E30" s="17">
        <v>-1.242E-2</v>
      </c>
      <c r="F30" s="17">
        <v>1</v>
      </c>
    </row>
    <row r="31" spans="1:6" x14ac:dyDescent="0.15">
      <c r="A31" s="17">
        <f>Feuil1!D35</f>
        <v>0.11901259402125597</v>
      </c>
      <c r="B31" s="17">
        <f>Feuil1!D23</f>
        <v>0.87879413374319093</v>
      </c>
      <c r="C31" s="17">
        <v>1</v>
      </c>
      <c r="D31" s="17">
        <v>1.197E-2</v>
      </c>
      <c r="E31" s="17">
        <v>-1.2370000000000001E-2</v>
      </c>
      <c r="F31" s="17">
        <v>1</v>
      </c>
    </row>
    <row r="32" spans="1:6" x14ac:dyDescent="0.15">
      <c r="A32" s="17">
        <f>Feuil1!E26</f>
        <v>8.2723947052369962E-3</v>
      </c>
      <c r="B32" s="17">
        <f>Feuil1!E14</f>
        <v>0.96950531207451529</v>
      </c>
      <c r="C32" s="17">
        <v>1.9230769230769232E-2</v>
      </c>
      <c r="D32" s="17">
        <v>7.0699999999999999E-3</v>
      </c>
      <c r="E32" s="17">
        <v>-1.298E-2</v>
      </c>
      <c r="F32" s="17">
        <v>1</v>
      </c>
    </row>
    <row r="33" spans="1:6" x14ac:dyDescent="0.15">
      <c r="A33" s="17">
        <f>Feuil1!E27</f>
        <v>1.1941669754405027E-2</v>
      </c>
      <c r="B33" s="17">
        <f>Feuil1!E15</f>
        <v>0.96660202925847083</v>
      </c>
      <c r="C33" s="17">
        <v>3.8461538461538464E-2</v>
      </c>
      <c r="D33" s="17">
        <v>5.8399999999999997E-3</v>
      </c>
      <c r="E33" s="17">
        <v>-1.453E-2</v>
      </c>
      <c r="F33" s="17">
        <v>1</v>
      </c>
    </row>
    <row r="34" spans="1:6" x14ac:dyDescent="0.15">
      <c r="A34" s="17">
        <f>Feuil1!E28</f>
        <v>1.5467059786602566E-2</v>
      </c>
      <c r="B34" s="17">
        <f>Feuil1!E16</f>
        <v>0.96381848643017398</v>
      </c>
      <c r="C34" s="17">
        <v>5.7692307692307696E-2</v>
      </c>
      <c r="D34" s="17">
        <v>7.1199999999999996E-3</v>
      </c>
      <c r="E34" s="17">
        <v>-1.332E-2</v>
      </c>
      <c r="F34" s="17">
        <v>1</v>
      </c>
    </row>
    <row r="35" spans="1:6" x14ac:dyDescent="0.15">
      <c r="A35" s="17">
        <f>Feuil1!E29</f>
        <v>1.9775229534170324E-2</v>
      </c>
      <c r="B35" s="17">
        <f>Feuil1!E17</f>
        <v>0.96038659122770598</v>
      </c>
      <c r="C35" s="17">
        <v>8.3333333333333329E-2</v>
      </c>
      <c r="D35" s="17">
        <v>8.6700000000000006E-3</v>
      </c>
      <c r="E35" s="17">
        <v>-1.225E-2</v>
      </c>
      <c r="F35" s="17">
        <v>1</v>
      </c>
    </row>
    <row r="36" spans="1:6" x14ac:dyDescent="0.15">
      <c r="A36" s="17">
        <f>Feuil1!E30</f>
        <v>2.8415902716251273E-2</v>
      </c>
      <c r="B36" s="17">
        <f>Feuil1!E18</f>
        <v>0.95382475361307151</v>
      </c>
      <c r="C36" s="17">
        <v>0.16666666666666666</v>
      </c>
      <c r="D36" s="17">
        <v>1.0019999999999999E-2</v>
      </c>
      <c r="E36" s="17">
        <v>-1.2749999999999999E-2</v>
      </c>
      <c r="F36" s="17">
        <v>1</v>
      </c>
    </row>
    <row r="37" spans="1:6" x14ac:dyDescent="0.15">
      <c r="A37" s="17">
        <f>Feuil1!E31</f>
        <v>3.6295718578918557E-2</v>
      </c>
      <c r="B37" s="17">
        <f>Feuil1!E19</f>
        <v>0.94778719462621686</v>
      </c>
      <c r="C37" s="17">
        <v>0.25</v>
      </c>
      <c r="D37" s="17">
        <v>1.023E-2</v>
      </c>
      <c r="E37" s="17">
        <v>-1.247E-2</v>
      </c>
      <c r="F37" s="17">
        <v>1</v>
      </c>
    </row>
    <row r="38" spans="1:6" x14ac:dyDescent="0.15">
      <c r="A38" s="17">
        <f>Feuil1!E32</f>
        <v>4.3678026797752012E-2</v>
      </c>
      <c r="B38" s="17">
        <f>Feuil1!E20</f>
        <v>0.94225988007738093</v>
      </c>
      <c r="C38" s="17">
        <v>0.33333333333333331</v>
      </c>
      <c r="D38" s="17">
        <v>1.065E-2</v>
      </c>
      <c r="E38" s="17">
        <v>-1.1939999999999999E-2</v>
      </c>
      <c r="F38" s="17">
        <v>1</v>
      </c>
    </row>
    <row r="39" spans="1:6" x14ac:dyDescent="0.15">
      <c r="A39" s="17">
        <f>Feuil1!E33</f>
        <v>5.7031834470795961E-2</v>
      </c>
      <c r="B39" s="17">
        <f>Feuil1!E21</f>
        <v>0.93232727898369705</v>
      </c>
      <c r="C39" s="17">
        <v>0.5</v>
      </c>
      <c r="D39" s="17">
        <v>1.116E-2</v>
      </c>
      <c r="E39" s="17">
        <v>-1.2200000000000001E-2</v>
      </c>
      <c r="F39" s="17">
        <v>1</v>
      </c>
    </row>
    <row r="40" spans="1:6" x14ac:dyDescent="0.15">
      <c r="A40" s="17">
        <f>Feuil1!E34</f>
        <v>7.4654649252051342E-2</v>
      </c>
      <c r="B40" s="17">
        <f>Feuil1!E22</f>
        <v>0.9193785620454743</v>
      </c>
      <c r="C40" s="17">
        <v>0.75</v>
      </c>
      <c r="D40" s="17">
        <v>1.166E-2</v>
      </c>
      <c r="E40" s="17">
        <v>-1.242E-2</v>
      </c>
      <c r="F40" s="17">
        <v>1</v>
      </c>
    </row>
    <row r="41" spans="1:6" x14ac:dyDescent="0.15">
      <c r="A41" s="17">
        <f>Feuil1!E35</f>
        <v>9.1697843223508269E-2</v>
      </c>
      <c r="B41" s="17">
        <f>Feuil1!E23</f>
        <v>0.90691169975789587</v>
      </c>
      <c r="C41" s="17">
        <v>1</v>
      </c>
      <c r="D41" s="17">
        <v>1.197E-2</v>
      </c>
      <c r="E41" s="17">
        <v>-1.2370000000000001E-2</v>
      </c>
      <c r="F41" s="17">
        <v>1</v>
      </c>
    </row>
    <row r="42" spans="1:6" x14ac:dyDescent="0.15">
      <c r="A42" s="17">
        <f>Feuil1!F26</f>
        <v>6.2858515010816296E-3</v>
      </c>
      <c r="B42" s="17">
        <f>Feuil1!F14</f>
        <v>0.97223026961471659</v>
      </c>
      <c r="C42" s="17">
        <v>1.9230769230769232E-2</v>
      </c>
      <c r="D42" s="17">
        <v>7.0699999999999999E-3</v>
      </c>
      <c r="E42" s="17">
        <v>-1.298E-2</v>
      </c>
      <c r="F42" s="17">
        <v>1</v>
      </c>
    </row>
    <row r="43" spans="1:6" x14ac:dyDescent="0.15">
      <c r="A43" s="17">
        <f>Feuil1!F27</f>
        <v>9.1145851941004663E-3</v>
      </c>
      <c r="B43" s="17">
        <f>Feuil1!F15</f>
        <v>0.97042100402108056</v>
      </c>
      <c r="C43" s="17">
        <v>3.8461538461538464E-2</v>
      </c>
      <c r="D43" s="17">
        <v>5.8399999999999997E-3</v>
      </c>
      <c r="E43" s="17">
        <v>-1.453E-2</v>
      </c>
      <c r="F43" s="17">
        <v>1</v>
      </c>
    </row>
    <row r="44" spans="1:6" x14ac:dyDescent="0.15">
      <c r="A44" s="17">
        <f>Feuil1!F28</f>
        <v>1.1831718710824002E-2</v>
      </c>
      <c r="B44" s="17">
        <f>Feuil1!F16</f>
        <v>0.96868665778068974</v>
      </c>
      <c r="C44" s="17">
        <v>5.7692307692307696E-2</v>
      </c>
      <c r="D44" s="17">
        <v>7.1199999999999996E-3</v>
      </c>
      <c r="E44" s="17">
        <v>-1.332E-2</v>
      </c>
      <c r="F44" s="17">
        <v>1</v>
      </c>
    </row>
    <row r="45" spans="1:6" x14ac:dyDescent="0.15">
      <c r="A45" s="17">
        <f>Feuil1!F29</f>
        <v>1.5150215641165476E-2</v>
      </c>
      <c r="B45" s="17">
        <f>Feuil1!F17</f>
        <v>0.96648078577492358</v>
      </c>
      <c r="C45" s="17">
        <v>8.3333333333333329E-2</v>
      </c>
      <c r="D45" s="17">
        <v>8.6700000000000006E-3</v>
      </c>
      <c r="E45" s="17">
        <v>-1.225E-2</v>
      </c>
      <c r="F45" s="17">
        <v>1</v>
      </c>
    </row>
    <row r="46" spans="1:6" x14ac:dyDescent="0.15">
      <c r="A46" s="17">
        <f>Feuil1!F30</f>
        <v>2.1940184202931645E-2</v>
      </c>
      <c r="B46" s="17">
        <f>Feuil1!F18</f>
        <v>0.96199306566753495</v>
      </c>
      <c r="C46" s="17">
        <v>0.16666666666666666</v>
      </c>
      <c r="D46" s="17">
        <v>1.0019999999999999E-2</v>
      </c>
      <c r="E46" s="17">
        <v>-1.2749999999999999E-2</v>
      </c>
      <c r="F46" s="17">
        <v>1</v>
      </c>
    </row>
    <row r="47" spans="1:6" x14ac:dyDescent="0.15">
      <c r="A47" s="17">
        <f>Feuil1!F31</f>
        <v>2.8138638856161413E-2</v>
      </c>
      <c r="B47" s="17">
        <f>Feuil1!F19</f>
        <v>0.95781964305428735</v>
      </c>
      <c r="C47" s="17">
        <v>0.25</v>
      </c>
      <c r="D47" s="17">
        <v>1.023E-2</v>
      </c>
      <c r="E47" s="17">
        <v>-1.247E-2</v>
      </c>
      <c r="F47" s="17">
        <v>1</v>
      </c>
    </row>
    <row r="48" spans="1:6" x14ac:dyDescent="0.15">
      <c r="A48" s="17">
        <f>Feuil1!F32</f>
        <v>3.3938814321019195E-2</v>
      </c>
      <c r="B48" s="17">
        <f>Feuil1!F20</f>
        <v>0.95407751479671521</v>
      </c>
      <c r="C48" s="17">
        <v>0.33333333333333331</v>
      </c>
      <c r="D48" s="17">
        <v>1.065E-2</v>
      </c>
      <c r="E48" s="17">
        <v>-1.1939999999999999E-2</v>
      </c>
      <c r="F48" s="17">
        <v>1</v>
      </c>
    </row>
    <row r="49" spans="1:6" x14ac:dyDescent="0.15">
      <c r="A49" s="17">
        <f>Feuil1!F33</f>
        <v>4.4607545903216472E-2</v>
      </c>
      <c r="B49" s="17">
        <f>Feuil1!F21</f>
        <v>0.94691474581795665</v>
      </c>
      <c r="C49" s="17">
        <v>0.5</v>
      </c>
      <c r="D49" s="17">
        <v>1.116E-2</v>
      </c>
      <c r="E49" s="17">
        <v>-1.2200000000000001E-2</v>
      </c>
      <c r="F49" s="17">
        <v>1</v>
      </c>
    </row>
    <row r="50" spans="1:6" x14ac:dyDescent="0.15">
      <c r="A50" s="17">
        <f>Feuil1!F34</f>
        <v>5.882560170443607E-2</v>
      </c>
      <c r="B50" s="17">
        <f>Feuil1!F22</f>
        <v>0.93722434538776678</v>
      </c>
      <c r="C50" s="17">
        <v>0.75</v>
      </c>
      <c r="D50" s="17">
        <v>1.166E-2</v>
      </c>
      <c r="E50" s="17">
        <v>-1.242E-2</v>
      </c>
      <c r="F50" s="17">
        <v>1</v>
      </c>
    </row>
    <row r="51" spans="1:6" x14ac:dyDescent="0.15">
      <c r="A51" s="17">
        <f>Feuil1!F35</f>
        <v>7.2515286163194137E-2</v>
      </c>
      <c r="B51" s="17">
        <f>Feuil1!F23</f>
        <v>0.92799727402746623</v>
      </c>
      <c r="C51" s="17">
        <v>1</v>
      </c>
      <c r="D51" s="17">
        <v>1.197E-2</v>
      </c>
      <c r="E51" s="17">
        <v>-1.2370000000000001E-2</v>
      </c>
      <c r="F51" s="17">
        <v>1</v>
      </c>
    </row>
    <row r="52" spans="1:6" x14ac:dyDescent="0.15">
      <c r="A52" s="17">
        <f>Feuil1!G26</f>
        <v>4.1415056423082519E-3</v>
      </c>
      <c r="B52" s="17">
        <f>Feuil1!G14</f>
        <v>0.97584922534768492</v>
      </c>
      <c r="C52" s="17">
        <v>1.9230769230769232E-2</v>
      </c>
      <c r="D52" s="17">
        <v>7.0699999999999999E-3</v>
      </c>
      <c r="E52" s="17">
        <v>-1.298E-2</v>
      </c>
      <c r="F52" s="17">
        <v>1</v>
      </c>
    </row>
    <row r="53" spans="1:6" x14ac:dyDescent="0.15">
      <c r="A53" s="17">
        <f>Feuil1!G27</f>
        <v>6.0569107109927911E-3</v>
      </c>
      <c r="B53" s="17">
        <f>Feuil1!G15</f>
        <v>0.97550116138118348</v>
      </c>
      <c r="C53" s="17">
        <v>3.8461538461538464E-2</v>
      </c>
      <c r="D53" s="17">
        <v>5.8399999999999997E-3</v>
      </c>
      <c r="E53" s="17">
        <v>-1.453E-2</v>
      </c>
      <c r="F53" s="17">
        <v>1</v>
      </c>
    </row>
    <row r="54" spans="1:6" x14ac:dyDescent="0.15">
      <c r="A54" s="17">
        <f>Feuil1!G28</f>
        <v>7.876763958204025E-3</v>
      </c>
      <c r="B54" s="17">
        <f>Feuil1!G16</f>
        <v>0.97516536888830296</v>
      </c>
      <c r="C54" s="17">
        <v>5.7692307692307696E-2</v>
      </c>
      <c r="D54" s="17">
        <v>7.1199999999999996E-3</v>
      </c>
      <c r="E54" s="17">
        <v>-1.332E-2</v>
      </c>
      <c r="F54" s="17">
        <v>1</v>
      </c>
    </row>
    <row r="55" spans="1:6" x14ac:dyDescent="0.15">
      <c r="A55" s="17">
        <f>Feuil1!G29</f>
        <v>1.0117869301420723E-2</v>
      </c>
      <c r="B55" s="17">
        <f>Feuil1!G17</f>
        <v>0.97455823362448679</v>
      </c>
      <c r="C55" s="17">
        <v>8.3333333333333329E-2</v>
      </c>
      <c r="D55" s="17">
        <v>8.6700000000000006E-3</v>
      </c>
      <c r="E55" s="17">
        <v>-1.225E-2</v>
      </c>
      <c r="F55" s="17">
        <v>1</v>
      </c>
    </row>
    <row r="56" spans="1:6" x14ac:dyDescent="0.15">
      <c r="A56" s="17">
        <f>Feuil1!G30</f>
        <v>1.4845724531554028E-2</v>
      </c>
      <c r="B56" s="17">
        <f>Feuil1!G18</f>
        <v>0.97279026443537298</v>
      </c>
      <c r="C56" s="17">
        <v>0.16666666666666666</v>
      </c>
      <c r="D56" s="17">
        <v>1.0019999999999999E-2</v>
      </c>
      <c r="E56" s="17">
        <v>-1.2749999999999999E-2</v>
      </c>
      <c r="F56" s="17">
        <v>1</v>
      </c>
    </row>
    <row r="57" spans="1:6" x14ac:dyDescent="0.15">
      <c r="A57" s="17">
        <f>Feuil1!G31</f>
        <v>1.917090722418785E-2</v>
      </c>
      <c r="B57" s="17">
        <f>Feuil1!G19</f>
        <v>0.97106168729846642</v>
      </c>
      <c r="C57" s="17">
        <v>0.25</v>
      </c>
      <c r="D57" s="17">
        <v>1.023E-2</v>
      </c>
      <c r="E57" s="17">
        <v>-1.247E-2</v>
      </c>
      <c r="F57" s="17">
        <v>1</v>
      </c>
    </row>
    <row r="58" spans="1:6" x14ac:dyDescent="0.15">
      <c r="A58" s="17">
        <f>Feuil1!G32</f>
        <v>2.3203441854741325E-2</v>
      </c>
      <c r="B58" s="17">
        <f>Feuil1!G20</f>
        <v>0.96967389599514542</v>
      </c>
      <c r="C58" s="17">
        <v>0.33333333333333331</v>
      </c>
      <c r="D58" s="17">
        <v>1.065E-2</v>
      </c>
      <c r="E58" s="17">
        <v>-1.1939999999999999E-2</v>
      </c>
      <c r="F58" s="17">
        <v>1</v>
      </c>
    </row>
    <row r="59" spans="1:6" x14ac:dyDescent="0.15">
      <c r="A59" s="17">
        <f>Feuil1!G33</f>
        <v>3.0727163260512058E-2</v>
      </c>
      <c r="B59" s="17">
        <f>Feuil1!G21</f>
        <v>0.96622372449096827</v>
      </c>
      <c r="C59" s="17">
        <v>0.5</v>
      </c>
      <c r="D59" s="17">
        <v>1.116E-2</v>
      </c>
      <c r="E59" s="17">
        <v>-1.2200000000000001E-2</v>
      </c>
      <c r="F59" s="17">
        <v>1</v>
      </c>
    </row>
    <row r="60" spans="1:6" x14ac:dyDescent="0.15">
      <c r="A60" s="17">
        <f>Feuil1!G34</f>
        <v>4.0860806316883158E-2</v>
      </c>
      <c r="B60" s="17">
        <f>Feuil1!G22</f>
        <v>0.9609545222479059</v>
      </c>
      <c r="C60" s="17">
        <v>0.75</v>
      </c>
      <c r="D60" s="17">
        <v>1.166E-2</v>
      </c>
      <c r="E60" s="17">
        <v>-1.242E-2</v>
      </c>
      <c r="F60" s="17">
        <v>1</v>
      </c>
    </row>
    <row r="61" spans="1:6" x14ac:dyDescent="0.15">
      <c r="A61" s="17">
        <f>Feuil1!G35</f>
        <v>5.0599775265583291E-2</v>
      </c>
      <c r="B61" s="17">
        <f>Feuil1!G23</f>
        <v>0.95609751702554413</v>
      </c>
      <c r="C61" s="17">
        <v>1</v>
      </c>
      <c r="D61" s="17">
        <v>1.197E-2</v>
      </c>
      <c r="E61" s="17">
        <v>-1.2370000000000001E-2</v>
      </c>
      <c r="F61" s="17">
        <v>1</v>
      </c>
    </row>
    <row r="62" spans="1:6" x14ac:dyDescent="0.15">
      <c r="A62" s="17">
        <f>Feuil1!H26</f>
        <v>5.6239982539402211E-3</v>
      </c>
      <c r="B62" s="17">
        <f>Feuil1!H14</f>
        <v>0.97962241183348453</v>
      </c>
      <c r="C62" s="17">
        <v>1.9230769230769232E-2</v>
      </c>
      <c r="D62" s="17">
        <v>7.0699999999999999E-3</v>
      </c>
      <c r="E62" s="17">
        <v>-1.298E-2</v>
      </c>
      <c r="F62" s="17">
        <v>-1</v>
      </c>
    </row>
    <row r="63" spans="1:6" x14ac:dyDescent="0.15">
      <c r="A63" s="17">
        <f>Feuil1!H27</f>
        <v>7.6761645434642034E-3</v>
      </c>
      <c r="B63" s="17">
        <f>Feuil1!H15</f>
        <v>0.98084110454006757</v>
      </c>
      <c r="C63" s="17">
        <v>3.8461538461538464E-2</v>
      </c>
      <c r="D63" s="17">
        <v>5.8399999999999997E-3</v>
      </c>
      <c r="E63" s="17">
        <v>-1.453E-2</v>
      </c>
      <c r="F63" s="17">
        <v>-1</v>
      </c>
    </row>
    <row r="64" spans="1:6" x14ac:dyDescent="0.15">
      <c r="A64" s="17">
        <f>Feuil1!H28</f>
        <v>9.5279243942278935E-3</v>
      </c>
      <c r="B64" s="17">
        <f>Feuil1!H16</f>
        <v>0.98194160213113579</v>
      </c>
      <c r="C64" s="17">
        <v>5.7692307692307696E-2</v>
      </c>
      <c r="D64" s="17">
        <v>7.1199999999999996E-3</v>
      </c>
      <c r="E64" s="17">
        <v>-1.332E-2</v>
      </c>
      <c r="F64" s="17">
        <v>-1</v>
      </c>
    </row>
    <row r="65" spans="1:6" x14ac:dyDescent="0.15">
      <c r="A65" s="17">
        <f>Feuil1!H29</f>
        <v>1.1453717286988185E-2</v>
      </c>
      <c r="B65" s="17">
        <f>Feuil1!H17</f>
        <v>0.98299118774328165</v>
      </c>
      <c r="C65" s="17">
        <v>8.3333333333333329E-2</v>
      </c>
      <c r="D65" s="17">
        <v>8.6700000000000006E-3</v>
      </c>
      <c r="E65" s="17">
        <v>-1.225E-2</v>
      </c>
      <c r="F65" s="17">
        <v>-1</v>
      </c>
    </row>
    <row r="66" spans="1:6" x14ac:dyDescent="0.15">
      <c r="A66" s="17">
        <f>Feuil1!H30</f>
        <v>1.3657407876357497E-2</v>
      </c>
      <c r="B66" s="17">
        <f>Feuil1!H18</f>
        <v>0.98407859758993832</v>
      </c>
      <c r="C66" s="17">
        <v>0.16666666666666666</v>
      </c>
      <c r="D66" s="17">
        <v>1.0019999999999999E-2</v>
      </c>
      <c r="E66" s="17">
        <v>-1.2749999999999999E-2</v>
      </c>
      <c r="F66" s="17">
        <v>-1</v>
      </c>
    </row>
    <row r="67" spans="1:6" x14ac:dyDescent="0.15">
      <c r="A67" s="17">
        <f>Feuil1!H31</f>
        <v>1.5547740868521287E-2</v>
      </c>
      <c r="B67" s="17">
        <f>Feuil1!H19</f>
        <v>0.98491881450630947</v>
      </c>
      <c r="C67" s="17">
        <v>0.25</v>
      </c>
      <c r="D67" s="17">
        <v>1.023E-2</v>
      </c>
      <c r="E67" s="17">
        <v>-1.247E-2</v>
      </c>
      <c r="F67" s="17">
        <v>-1</v>
      </c>
    </row>
    <row r="68" spans="1:6" x14ac:dyDescent="0.15">
      <c r="A68" s="17">
        <f>Feuil1!H32</f>
        <v>1.7445474213360734E-2</v>
      </c>
      <c r="B68" s="17">
        <f>Feuil1!H20</f>
        <v>0.98595240943892748</v>
      </c>
      <c r="C68" s="17">
        <v>0.33333333333333331</v>
      </c>
      <c r="D68" s="17">
        <v>1.065E-2</v>
      </c>
      <c r="E68" s="17">
        <v>-1.1939999999999999E-2</v>
      </c>
      <c r="F68" s="17">
        <v>-1</v>
      </c>
    </row>
    <row r="69" spans="1:6" x14ac:dyDescent="0.15">
      <c r="A69" s="17">
        <f>Feuil1!H33</f>
        <v>1.8765232122484266E-2</v>
      </c>
      <c r="B69" s="17">
        <f>Feuil1!H21</f>
        <v>0.98620242391157786</v>
      </c>
      <c r="C69" s="17">
        <v>0.5</v>
      </c>
      <c r="D69" s="17">
        <v>1.116E-2</v>
      </c>
      <c r="E69" s="17">
        <v>-1.2200000000000001E-2</v>
      </c>
      <c r="F69" s="17">
        <v>-1</v>
      </c>
    </row>
    <row r="70" spans="1:6" x14ac:dyDescent="0.15">
      <c r="A70" s="17">
        <f>Feuil1!H34</f>
        <v>1.8549409930145755E-2</v>
      </c>
      <c r="B70" s="17">
        <f>Feuil1!H22</f>
        <v>0.98514545331878622</v>
      </c>
      <c r="C70" s="17">
        <v>0.75</v>
      </c>
      <c r="D70" s="17">
        <v>1.166E-2</v>
      </c>
      <c r="E70" s="17">
        <v>-1.242E-2</v>
      </c>
      <c r="F70" s="17">
        <v>-1</v>
      </c>
    </row>
    <row r="71" spans="1:6" x14ac:dyDescent="0.15">
      <c r="A71" s="17">
        <f>Feuil1!H35</f>
        <v>1.8577143344982283E-2</v>
      </c>
      <c r="B71" s="17">
        <f>Feuil1!H23</f>
        <v>0.98437908330445889</v>
      </c>
      <c r="C71" s="17">
        <v>1</v>
      </c>
      <c r="D71" s="17">
        <v>1.197E-2</v>
      </c>
      <c r="E71" s="17">
        <v>-1.2370000000000001E-2</v>
      </c>
      <c r="F71" s="17">
        <v>-1</v>
      </c>
    </row>
    <row r="72" spans="1:6" x14ac:dyDescent="0.15">
      <c r="A72" s="17">
        <f>Feuil1!I26</f>
        <v>7.8171796042569852E-3</v>
      </c>
      <c r="B72" s="17">
        <f>Feuil1!I14</f>
        <v>0.98268417316033629</v>
      </c>
      <c r="C72" s="17">
        <v>1.9230769230769232E-2</v>
      </c>
      <c r="D72" s="17">
        <v>7.0699999999999999E-3</v>
      </c>
      <c r="E72" s="17">
        <v>-1.298E-2</v>
      </c>
      <c r="F72" s="17">
        <v>-1</v>
      </c>
    </row>
    <row r="73" spans="1:6" x14ac:dyDescent="0.15">
      <c r="A73" s="17">
        <f>Feuil1!I27</f>
        <v>1.0812048859891177E-2</v>
      </c>
      <c r="B73" s="17">
        <f>Feuil1!I15</f>
        <v>0.98524114894971426</v>
      </c>
      <c r="C73" s="17">
        <v>3.8461538461538464E-2</v>
      </c>
      <c r="D73" s="17">
        <v>5.8399999999999997E-3</v>
      </c>
      <c r="E73" s="17">
        <v>-1.453E-2</v>
      </c>
      <c r="F73" s="17">
        <v>-1</v>
      </c>
    </row>
    <row r="74" spans="1:6" x14ac:dyDescent="0.15">
      <c r="A74" s="17">
        <f>Feuil1!I28</f>
        <v>1.344217200193909E-2</v>
      </c>
      <c r="B74" s="17">
        <f>Feuil1!I16</f>
        <v>0.98750344045210703</v>
      </c>
      <c r="C74" s="17">
        <v>5.7692307692307696E-2</v>
      </c>
      <c r="D74" s="17">
        <v>7.1199999999999996E-3</v>
      </c>
      <c r="E74" s="17">
        <v>-1.332E-2</v>
      </c>
      <c r="F74" s="17">
        <v>-1</v>
      </c>
    </row>
    <row r="75" spans="1:6" x14ac:dyDescent="0.15">
      <c r="A75" s="17">
        <f>Feuil1!I29</f>
        <v>1.6292137959901365E-2</v>
      </c>
      <c r="B75" s="17">
        <f>Feuil1!I17</f>
        <v>0.98994428027154246</v>
      </c>
      <c r="C75" s="17">
        <v>8.3333333333333329E-2</v>
      </c>
      <c r="D75" s="17">
        <v>8.6700000000000006E-3</v>
      </c>
      <c r="E75" s="17">
        <v>-1.225E-2</v>
      </c>
      <c r="F75" s="17">
        <v>-1</v>
      </c>
    </row>
    <row r="76" spans="1:6" x14ac:dyDescent="0.15">
      <c r="A76" s="17">
        <f>Feuil1!I30</f>
        <v>2.0095271181439167E-2</v>
      </c>
      <c r="B76" s="17">
        <f>Feuil1!I18</f>
        <v>0.99360830642442188</v>
      </c>
      <c r="C76" s="17">
        <v>0.16666666666666666</v>
      </c>
      <c r="D76" s="17">
        <v>1.0019999999999999E-2</v>
      </c>
      <c r="E76" s="17">
        <v>-1.2749999999999999E-2</v>
      </c>
      <c r="F76" s="17">
        <v>-1</v>
      </c>
    </row>
    <row r="77" spans="1:6" x14ac:dyDescent="0.15">
      <c r="A77" s="17">
        <f>Feuil1!I31</f>
        <v>2.3483891233683218E-2</v>
      </c>
      <c r="B77" s="17">
        <f>Feuil1!I19</f>
        <v>0.99684621746753188</v>
      </c>
      <c r="C77" s="17">
        <v>0.25</v>
      </c>
      <c r="D77" s="17">
        <v>1.023E-2</v>
      </c>
      <c r="E77" s="17">
        <v>-1.247E-2</v>
      </c>
      <c r="F77" s="17">
        <v>-1</v>
      </c>
    </row>
    <row r="78" spans="1:6" x14ac:dyDescent="0.15">
      <c r="A78" s="17">
        <f>Feuil1!I32</f>
        <v>2.6722557282539028E-2</v>
      </c>
      <c r="B78" s="17">
        <f>Feuil1!I20</f>
        <v>1.000080579739512</v>
      </c>
      <c r="C78" s="17">
        <v>0.33333333333333331</v>
      </c>
      <c r="D78" s="17">
        <v>1.065E-2</v>
      </c>
      <c r="E78" s="17">
        <v>-1.1939999999999999E-2</v>
      </c>
      <c r="F78" s="17">
        <v>-1</v>
      </c>
    </row>
    <row r="79" spans="1:6" x14ac:dyDescent="0.15">
      <c r="A79" s="17">
        <f>Feuil1!I33</f>
        <v>3.0008513876332188E-2</v>
      </c>
      <c r="B79" s="17">
        <f>Feuil1!I21</f>
        <v>1.0039155762837857</v>
      </c>
      <c r="C79" s="17">
        <v>0.5</v>
      </c>
      <c r="D79" s="17">
        <v>1.116E-2</v>
      </c>
      <c r="E79" s="17">
        <v>-1.2200000000000001E-2</v>
      </c>
      <c r="F79" s="17">
        <v>-1</v>
      </c>
    </row>
    <row r="80" spans="1:6" x14ac:dyDescent="0.15">
      <c r="A80" s="17">
        <f>Feuil1!I34</f>
        <v>3.193130331995897E-2</v>
      </c>
      <c r="B80" s="17">
        <f>Feuil1!I22</f>
        <v>1.0072318820622361</v>
      </c>
      <c r="C80" s="17">
        <v>0.75</v>
      </c>
      <c r="D80" s="17">
        <v>1.166E-2</v>
      </c>
      <c r="E80" s="17">
        <v>-1.242E-2</v>
      </c>
      <c r="F80" s="17">
        <v>-1</v>
      </c>
    </row>
    <row r="81" spans="1:6" x14ac:dyDescent="0.15">
      <c r="A81" s="17">
        <f>Feuil1!I35</f>
        <v>3.4368169458443232E-2</v>
      </c>
      <c r="B81" s="17">
        <f>Feuil1!I23</f>
        <v>1.0110676208462652</v>
      </c>
      <c r="C81" s="17">
        <v>1</v>
      </c>
      <c r="D81" s="17">
        <v>1.197E-2</v>
      </c>
      <c r="E81" s="17">
        <v>-1.2370000000000001E-2</v>
      </c>
      <c r="F81" s="17">
        <v>-1</v>
      </c>
    </row>
    <row r="82" spans="1:6" x14ac:dyDescent="0.15">
      <c r="A82" s="17">
        <f>Feuil1!J26</f>
        <v>1.1264271384761049E-2</v>
      </c>
      <c r="B82" s="17">
        <f>Feuil1!J14</f>
        <v>0.98688709914591244</v>
      </c>
      <c r="C82" s="17">
        <v>1.9230769230769232E-2</v>
      </c>
      <c r="D82" s="17">
        <v>7.0699999999999999E-3</v>
      </c>
      <c r="E82" s="17">
        <v>-1.298E-2</v>
      </c>
      <c r="F82" s="17">
        <v>-1</v>
      </c>
    </row>
    <row r="83" spans="1:6" x14ac:dyDescent="0.15">
      <c r="A83" s="17">
        <f>Feuil1!J27</f>
        <v>1.5790774530229257E-2</v>
      </c>
      <c r="B83" s="17">
        <f>Feuil1!J15</f>
        <v>0.99133521105420541</v>
      </c>
      <c r="C83" s="17">
        <v>3.8461538461538464E-2</v>
      </c>
      <c r="D83" s="17">
        <v>5.8399999999999997E-3</v>
      </c>
      <c r="E83" s="17">
        <v>-1.453E-2</v>
      </c>
      <c r="F83" s="17">
        <v>-1</v>
      </c>
    </row>
    <row r="84" spans="1:6" x14ac:dyDescent="0.15">
      <c r="A84" s="17">
        <f>Feuil1!J28</f>
        <v>1.9622400131530493E-2</v>
      </c>
      <c r="B84" s="17">
        <f>Feuil1!J16</f>
        <v>0.99513948934836549</v>
      </c>
      <c r="C84" s="17">
        <v>5.7692307692307696E-2</v>
      </c>
      <c r="D84" s="17">
        <v>7.1199999999999996E-3</v>
      </c>
      <c r="E84" s="17">
        <v>-1.332E-2</v>
      </c>
      <c r="F84" s="17">
        <v>-1</v>
      </c>
    </row>
    <row r="85" spans="1:6" x14ac:dyDescent="0.15">
      <c r="A85" s="17">
        <f>Feuil1!J29</f>
        <v>2.411450541370519E-2</v>
      </c>
      <c r="B85" s="17">
        <f>Feuil1!J17</f>
        <v>0.99963749071871244</v>
      </c>
      <c r="C85" s="17">
        <v>8.3333333333333329E-2</v>
      </c>
      <c r="D85" s="17">
        <v>8.6700000000000006E-3</v>
      </c>
      <c r="E85" s="17">
        <v>-1.225E-2</v>
      </c>
      <c r="F85" s="17">
        <v>-1</v>
      </c>
    </row>
    <row r="86" spans="1:6" x14ac:dyDescent="0.15">
      <c r="A86" s="17">
        <f>Feuil1!J30</f>
        <v>3.0788060208013612E-2</v>
      </c>
      <c r="B86" s="17">
        <f>Feuil1!J18</f>
        <v>1.0070923748292391</v>
      </c>
      <c r="C86" s="17">
        <v>0.16666666666666666</v>
      </c>
      <c r="D86" s="17">
        <v>1.0019999999999999E-2</v>
      </c>
      <c r="E86" s="17">
        <v>-1.2749999999999999E-2</v>
      </c>
      <c r="F86" s="17">
        <v>-1</v>
      </c>
    </row>
    <row r="87" spans="1:6" x14ac:dyDescent="0.15">
      <c r="A87" s="17">
        <f>Feuil1!J31</f>
        <v>3.7035944993137671E-2</v>
      </c>
      <c r="B87" s="17">
        <f>Feuil1!J19</f>
        <v>1.0140387875042129</v>
      </c>
      <c r="C87" s="17">
        <v>0.25</v>
      </c>
      <c r="D87" s="17">
        <v>1.023E-2</v>
      </c>
      <c r="E87" s="17">
        <v>-1.247E-2</v>
      </c>
      <c r="F87" s="17">
        <v>-1</v>
      </c>
    </row>
    <row r="88" spans="1:6" x14ac:dyDescent="0.15">
      <c r="A88" s="17">
        <f>Feuil1!J32</f>
        <v>4.2736201828813103E-2</v>
      </c>
      <c r="B88" s="17">
        <f>Feuil1!J20</f>
        <v>1.0205396043933013</v>
      </c>
      <c r="C88" s="17">
        <v>0.33333333333333331</v>
      </c>
      <c r="D88" s="17">
        <v>1.065E-2</v>
      </c>
      <c r="E88" s="17">
        <v>-1.1939999999999999E-2</v>
      </c>
      <c r="F88" s="17">
        <v>-1</v>
      </c>
    </row>
    <row r="89" spans="1:6" x14ac:dyDescent="0.15">
      <c r="A89" s="17">
        <f>Feuil1!J33</f>
        <v>5.0048000865156261E-2</v>
      </c>
      <c r="B89" s="17">
        <f>Feuil1!J21</f>
        <v>1.0299441572113368</v>
      </c>
      <c r="C89" s="17">
        <v>0.5</v>
      </c>
      <c r="D89" s="17">
        <v>1.116E-2</v>
      </c>
      <c r="E89" s="17">
        <v>-1.2200000000000001E-2</v>
      </c>
      <c r="F89" s="17">
        <v>-1</v>
      </c>
    </row>
    <row r="90" spans="1:6" x14ac:dyDescent="0.15">
      <c r="A90" s="17">
        <f>Feuil1!J34</f>
        <v>5.6577818169213812E-2</v>
      </c>
      <c r="B90" s="17">
        <f>Feuil1!J22</f>
        <v>1.0400428193926605</v>
      </c>
      <c r="C90" s="17">
        <v>0.75</v>
      </c>
      <c r="D90" s="17">
        <v>1.166E-2</v>
      </c>
      <c r="E90" s="17">
        <v>-1.242E-2</v>
      </c>
      <c r="F90" s="17">
        <v>-1</v>
      </c>
    </row>
    <row r="91" spans="1:6" x14ac:dyDescent="0.15">
      <c r="A91" s="17">
        <f>Feuil1!J35</f>
        <v>6.4365272525541917E-2</v>
      </c>
      <c r="B91" s="17">
        <f>Feuil1!J23</f>
        <v>1.0514010443405308</v>
      </c>
      <c r="C91" s="17">
        <v>1</v>
      </c>
      <c r="D91" s="17">
        <v>1.197E-2</v>
      </c>
      <c r="E91" s="17">
        <v>-1.2370000000000001E-2</v>
      </c>
      <c r="F91" s="17">
        <v>-1</v>
      </c>
    </row>
    <row r="92" spans="1:6" x14ac:dyDescent="0.15">
      <c r="A92" s="17">
        <f>Feuil1!K26</f>
        <v>1.4000680531430554E-2</v>
      </c>
      <c r="B92" s="17">
        <f>Feuil1!K14</f>
        <v>0.98996499096577462</v>
      </c>
      <c r="C92" s="17">
        <v>1.9230769230769232E-2</v>
      </c>
      <c r="D92" s="17">
        <v>7.0699999999999999E-3</v>
      </c>
      <c r="E92" s="17">
        <v>-1.298E-2</v>
      </c>
      <c r="F92" s="17">
        <v>-1</v>
      </c>
    </row>
    <row r="93" spans="1:6" x14ac:dyDescent="0.15">
      <c r="A93" s="17">
        <f>Feuil1!K27</f>
        <v>1.977323984900814E-2</v>
      </c>
      <c r="B93" s="17">
        <f>Feuil1!K15</f>
        <v>0.99582695053741699</v>
      </c>
      <c r="C93" s="17">
        <v>3.8461538461538464E-2</v>
      </c>
      <c r="D93" s="17">
        <v>5.8399999999999997E-3</v>
      </c>
      <c r="E93" s="17">
        <v>-1.453E-2</v>
      </c>
      <c r="F93" s="17">
        <v>-1</v>
      </c>
    </row>
    <row r="94" spans="1:6" x14ac:dyDescent="0.15">
      <c r="A94" s="17">
        <f>Feuil1!K28</f>
        <v>2.4569316773021654E-2</v>
      </c>
      <c r="B94" s="17">
        <f>Feuil1!K16</f>
        <v>1.0007495770616994</v>
      </c>
      <c r="C94" s="17">
        <v>5.7692307692307696E-2</v>
      </c>
      <c r="D94" s="17">
        <v>7.1199999999999996E-3</v>
      </c>
      <c r="E94" s="17">
        <v>-1.332E-2</v>
      </c>
      <c r="F94" s="17">
        <v>-1</v>
      </c>
    </row>
    <row r="95" spans="1:6" x14ac:dyDescent="0.15">
      <c r="A95" s="17">
        <f>Feuil1!K29</f>
        <v>3.0437267369300303E-2</v>
      </c>
      <c r="B95" s="17">
        <f>Feuil1!K17</f>
        <v>1.0068206419387713</v>
      </c>
      <c r="C95" s="17">
        <v>8.3333333333333329E-2</v>
      </c>
      <c r="D95" s="17">
        <v>8.6700000000000006E-3</v>
      </c>
      <c r="E95" s="17">
        <v>-1.225E-2</v>
      </c>
      <c r="F95" s="17">
        <v>-1</v>
      </c>
    </row>
    <row r="96" spans="1:6" x14ac:dyDescent="0.15">
      <c r="A96" s="17">
        <f>Feuil1!K30</f>
        <v>3.9610740925825172E-2</v>
      </c>
      <c r="B96" s="17">
        <f>Feuil1!K18</f>
        <v>1.0172212548741415</v>
      </c>
      <c r="C96" s="17">
        <v>0.16666666666666666</v>
      </c>
      <c r="D96" s="17">
        <v>1.0019999999999999E-2</v>
      </c>
      <c r="E96" s="17">
        <v>-1.2749999999999999E-2</v>
      </c>
      <c r="F96" s="17">
        <v>-1</v>
      </c>
    </row>
    <row r="97" spans="1:6" x14ac:dyDescent="0.15">
      <c r="A97" s="17">
        <f>Feuil1!K31</f>
        <v>4.8396538177187365E-2</v>
      </c>
      <c r="B97" s="17">
        <f>Feuil1!K19</f>
        <v>1.0271254738382873</v>
      </c>
      <c r="C97" s="17">
        <v>0.25</v>
      </c>
      <c r="D97" s="17">
        <v>1.023E-2</v>
      </c>
      <c r="E97" s="17">
        <v>-1.247E-2</v>
      </c>
      <c r="F97" s="17">
        <v>-1</v>
      </c>
    </row>
    <row r="98" spans="1:6" x14ac:dyDescent="0.15">
      <c r="A98" s="17">
        <f>Feuil1!K32</f>
        <v>5.6268451421818133E-2</v>
      </c>
      <c r="B98" s="17">
        <f>Feuil1!K20</f>
        <v>1.0361905275439542</v>
      </c>
      <c r="C98" s="17">
        <v>0.33333333333333331</v>
      </c>
      <c r="D98" s="17">
        <v>1.065E-2</v>
      </c>
      <c r="E98" s="17">
        <v>-1.1939999999999999E-2</v>
      </c>
      <c r="F98" s="17">
        <v>-1</v>
      </c>
    </row>
    <row r="99" spans="1:6" x14ac:dyDescent="0.15">
      <c r="A99" s="17">
        <f>Feuil1!K33</f>
        <v>6.7559292581243158E-2</v>
      </c>
      <c r="B99" s="17">
        <f>Feuil1!K21</f>
        <v>1.0503401685055709</v>
      </c>
      <c r="C99" s="17">
        <v>0.5</v>
      </c>
      <c r="D99" s="17">
        <v>1.116E-2</v>
      </c>
      <c r="E99" s="17">
        <v>-1.2200000000000001E-2</v>
      </c>
      <c r="F99" s="17">
        <v>-1</v>
      </c>
    </row>
    <row r="100" spans="1:6" x14ac:dyDescent="0.15">
      <c r="A100" s="17">
        <f>Feuil1!K34</f>
        <v>7.8222739351812898E-2</v>
      </c>
      <c r="B100" s="17">
        <f>Feuil1!K22</f>
        <v>1.0656822930861141</v>
      </c>
      <c r="C100" s="17">
        <v>0.75</v>
      </c>
      <c r="D100" s="17">
        <v>1.166E-2</v>
      </c>
      <c r="E100" s="17">
        <v>-1.242E-2</v>
      </c>
      <c r="F100" s="17">
        <v>-1</v>
      </c>
    </row>
    <row r="101" spans="1:6" x14ac:dyDescent="0.15">
      <c r="A101" s="17">
        <f>Feuil1!K35</f>
        <v>9.1363888314594077E-2</v>
      </c>
      <c r="B101" s="17">
        <f>Feuil1!K23</f>
        <v>1.0835242861188632</v>
      </c>
      <c r="C101" s="17">
        <v>1</v>
      </c>
      <c r="D101" s="17">
        <v>1.197E-2</v>
      </c>
      <c r="E101" s="17">
        <v>-1.2370000000000001E-2</v>
      </c>
      <c r="F101" s="17">
        <v>-1</v>
      </c>
    </row>
    <row r="102" spans="1:6" x14ac:dyDescent="0.15">
      <c r="A102" s="17">
        <f>Feuil1!L26</f>
        <v>1.8577604674274717E-2</v>
      </c>
      <c r="B102" s="17">
        <f>Feuil1!L14</f>
        <v>0.99485733887077876</v>
      </c>
      <c r="C102" s="17">
        <v>1.9230769230769232E-2</v>
      </c>
      <c r="D102" s="17">
        <v>7.0699999999999999E-3</v>
      </c>
      <c r="E102" s="17">
        <v>-1.298E-2</v>
      </c>
      <c r="F102" s="17">
        <v>-1</v>
      </c>
    </row>
    <row r="103" spans="1:6" x14ac:dyDescent="0.15">
      <c r="A103" s="17">
        <f>Feuil1!L27</f>
        <v>2.6517508117853472E-2</v>
      </c>
      <c r="B103" s="17">
        <f>Feuil1!L15</f>
        <v>1.0030451599560168</v>
      </c>
      <c r="C103" s="17">
        <v>3.8461538461538464E-2</v>
      </c>
      <c r="D103" s="17">
        <v>5.8399999999999997E-3</v>
      </c>
      <c r="E103" s="17">
        <v>-1.453E-2</v>
      </c>
      <c r="F103" s="17">
        <v>-1</v>
      </c>
    </row>
    <row r="104" spans="1:6" x14ac:dyDescent="0.15">
      <c r="A104" s="17">
        <f>Feuil1!L28</f>
        <v>3.29386182305893E-2</v>
      </c>
      <c r="B104" s="17">
        <f>Feuil1!L16</f>
        <v>1.0097359278950107</v>
      </c>
      <c r="C104" s="17">
        <v>5.7692307692307696E-2</v>
      </c>
      <c r="D104" s="17">
        <v>7.1199999999999996E-3</v>
      </c>
      <c r="E104" s="17">
        <v>-1.332E-2</v>
      </c>
      <c r="F104" s="17">
        <v>-1</v>
      </c>
    </row>
    <row r="105" spans="1:6" x14ac:dyDescent="0.15">
      <c r="A105" s="17">
        <f>Feuil1!L29</f>
        <v>4.1214584859326497E-2</v>
      </c>
      <c r="B105" s="17">
        <f>Feuil1!L17</f>
        <v>1.0184058871621962</v>
      </c>
      <c r="C105" s="17">
        <v>8.3333333333333329E-2</v>
      </c>
      <c r="D105" s="17">
        <v>8.6700000000000006E-3</v>
      </c>
      <c r="E105" s="17">
        <v>-1.225E-2</v>
      </c>
      <c r="F105" s="17">
        <v>-1</v>
      </c>
    </row>
    <row r="106" spans="1:6" x14ac:dyDescent="0.15">
      <c r="A106" s="17">
        <f>Feuil1!L30</f>
        <v>5.4943055686115461E-2</v>
      </c>
      <c r="B106" s="17">
        <f>Feuil1!L18</f>
        <v>1.0338014812824783</v>
      </c>
      <c r="C106" s="17">
        <v>0.16666666666666666</v>
      </c>
      <c r="D106" s="17">
        <v>1.0019999999999999E-2</v>
      </c>
      <c r="E106" s="17">
        <v>-1.2749999999999999E-2</v>
      </c>
      <c r="F106" s="17">
        <v>-1</v>
      </c>
    </row>
    <row r="107" spans="1:6" x14ac:dyDescent="0.15">
      <c r="A107" s="17">
        <f>Feuil1!L31</f>
        <v>6.8466598532821443E-2</v>
      </c>
      <c r="B107" s="17">
        <f>Feuil1!L19</f>
        <v>1.0488663144948156</v>
      </c>
      <c r="C107" s="17">
        <v>0.25</v>
      </c>
      <c r="D107" s="17">
        <v>1.023E-2</v>
      </c>
      <c r="E107" s="17">
        <v>-1.247E-2</v>
      </c>
      <c r="F107" s="17">
        <v>-1</v>
      </c>
    </row>
    <row r="108" spans="1:6" x14ac:dyDescent="0.15">
      <c r="A108" s="17">
        <f>Feuil1!L32</f>
        <v>8.0312673563613934E-2</v>
      </c>
      <c r="B108" s="17">
        <f>Feuil1!L20</f>
        <v>1.0623012826090892</v>
      </c>
      <c r="C108" s="17">
        <v>0.33333333333333331</v>
      </c>
      <c r="D108" s="17">
        <v>1.065E-2</v>
      </c>
      <c r="E108" s="17">
        <v>-1.1939999999999999E-2</v>
      </c>
      <c r="F108" s="17">
        <v>-1</v>
      </c>
    </row>
    <row r="109" spans="1:6" x14ac:dyDescent="0.15">
      <c r="A109" s="17">
        <f>Feuil1!L33</f>
        <v>9.8457090589820551E-2</v>
      </c>
      <c r="B109" s="17">
        <f>Feuil1!L21</f>
        <v>1.0841097313902781</v>
      </c>
      <c r="C109" s="17">
        <v>0.5</v>
      </c>
      <c r="D109" s="17">
        <v>1.116E-2</v>
      </c>
      <c r="E109" s="17">
        <v>-1.2200000000000001E-2</v>
      </c>
      <c r="F109" s="17">
        <v>-1</v>
      </c>
    </row>
    <row r="110" spans="1:6" x14ac:dyDescent="0.15">
      <c r="A110" s="17">
        <f>Feuil1!L34</f>
        <v>0.11770011314733031</v>
      </c>
      <c r="B110" s="17">
        <f>Feuil1!L22</f>
        <v>1.1091919595401216</v>
      </c>
      <c r="C110" s="17">
        <v>0.75</v>
      </c>
      <c r="D110" s="17">
        <v>1.166E-2</v>
      </c>
      <c r="E110" s="17">
        <v>-1.242E-2</v>
      </c>
      <c r="F110" s="17">
        <v>-1</v>
      </c>
    </row>
    <row r="111" spans="1:6" x14ac:dyDescent="0.15">
      <c r="A111" s="17">
        <f>Feuil1!L35</f>
        <v>0.14109877126762049</v>
      </c>
      <c r="B111" s="17">
        <f>Feuil1!L23</f>
        <v>1.1385378332958926</v>
      </c>
      <c r="C111" s="17">
        <v>1</v>
      </c>
      <c r="D111" s="17">
        <v>1.197E-2</v>
      </c>
      <c r="E111" s="17">
        <v>-1.2370000000000001E-2</v>
      </c>
      <c r="F111" s="17">
        <v>-1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Book1</vt:lpstr>
      <vt:lpstr>Feuil1</vt:lpstr>
      <vt:lpstr>Feuil2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Trolle Anders</dc:creator>
  <cp:lastModifiedBy>Utilisateur de Microsoft Office</cp:lastModifiedBy>
  <dcterms:created xsi:type="dcterms:W3CDTF">2017-05-12T12:12:15Z</dcterms:created>
  <dcterms:modified xsi:type="dcterms:W3CDTF">2017-05-31T20:11:51Z</dcterms:modified>
</cp:coreProperties>
</file>