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"/>
    </mc:Choice>
  </mc:AlternateContent>
  <bookViews>
    <workbookView xWindow="0" yWindow="460" windowWidth="28800" windowHeight="16240" activeTab="2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6" i="2" l="1"/>
  <c r="B14" i="2"/>
  <c r="C38" i="2"/>
  <c r="D38" i="2"/>
  <c r="E38" i="2"/>
  <c r="F38" i="2"/>
  <c r="G38" i="2"/>
  <c r="H38" i="2"/>
  <c r="I38" i="2"/>
  <c r="J38" i="2"/>
  <c r="K38" i="2"/>
  <c r="L38" i="2"/>
  <c r="C39" i="2"/>
  <c r="D39" i="2"/>
  <c r="E39" i="2"/>
  <c r="F39" i="2"/>
  <c r="G39" i="2"/>
  <c r="H39" i="2"/>
  <c r="I39" i="2"/>
  <c r="J39" i="2"/>
  <c r="K39" i="2"/>
  <c r="L39" i="2"/>
  <c r="C40" i="2"/>
  <c r="D40" i="2"/>
  <c r="E40" i="2"/>
  <c r="F40" i="2"/>
  <c r="G40" i="2"/>
  <c r="H40" i="2"/>
  <c r="I40" i="2"/>
  <c r="J40" i="2"/>
  <c r="K40" i="2"/>
  <c r="L40" i="2"/>
  <c r="C41" i="2"/>
  <c r="D41" i="2"/>
  <c r="E41" i="2"/>
  <c r="F41" i="2"/>
  <c r="G41" i="2"/>
  <c r="H41" i="2"/>
  <c r="I41" i="2"/>
  <c r="J41" i="2"/>
  <c r="K41" i="2"/>
  <c r="L41" i="2"/>
  <c r="C42" i="2"/>
  <c r="D42" i="2"/>
  <c r="E42" i="2"/>
  <c r="F42" i="2"/>
  <c r="G42" i="2"/>
  <c r="H42" i="2"/>
  <c r="I42" i="2"/>
  <c r="J42" i="2"/>
  <c r="K42" i="2"/>
  <c r="L42" i="2"/>
  <c r="C43" i="2"/>
  <c r="D43" i="2"/>
  <c r="E43" i="2"/>
  <c r="F43" i="2"/>
  <c r="G43" i="2"/>
  <c r="H43" i="2"/>
  <c r="I43" i="2"/>
  <c r="J43" i="2"/>
  <c r="K43" i="2"/>
  <c r="L43" i="2"/>
  <c r="C44" i="2"/>
  <c r="D44" i="2"/>
  <c r="E44" i="2"/>
  <c r="F44" i="2"/>
  <c r="G44" i="2"/>
  <c r="H44" i="2"/>
  <c r="I44" i="2"/>
  <c r="J44" i="2"/>
  <c r="K44" i="2"/>
  <c r="L44" i="2"/>
  <c r="C45" i="2"/>
  <c r="D45" i="2"/>
  <c r="E45" i="2"/>
  <c r="F45" i="2"/>
  <c r="G45" i="2"/>
  <c r="H45" i="2"/>
  <c r="I45" i="2"/>
  <c r="J45" i="2"/>
  <c r="K45" i="2"/>
  <c r="L45" i="2"/>
  <c r="C46" i="2"/>
  <c r="D46" i="2"/>
  <c r="E46" i="2"/>
  <c r="F46" i="2"/>
  <c r="G46" i="2"/>
  <c r="H46" i="2"/>
  <c r="I46" i="2"/>
  <c r="J46" i="2"/>
  <c r="K46" i="2"/>
  <c r="L46" i="2"/>
  <c r="C47" i="2"/>
  <c r="D47" i="2"/>
  <c r="E47" i="2"/>
  <c r="F47" i="2"/>
  <c r="G47" i="2"/>
  <c r="H47" i="2"/>
  <c r="I47" i="2"/>
  <c r="J47" i="2"/>
  <c r="K47" i="2"/>
  <c r="L47" i="2"/>
  <c r="B39" i="2"/>
  <c r="B40" i="2"/>
  <c r="B41" i="2"/>
  <c r="B42" i="2"/>
  <c r="B43" i="2"/>
  <c r="B44" i="2"/>
  <c r="B45" i="2"/>
  <c r="B46" i="2"/>
  <c r="B47" i="2"/>
  <c r="B38" i="2"/>
  <c r="C26" i="2"/>
  <c r="D26" i="2"/>
  <c r="E26" i="2"/>
  <c r="F26" i="2"/>
  <c r="G26" i="2"/>
  <c r="H26" i="2"/>
  <c r="I26" i="2"/>
  <c r="J26" i="2"/>
  <c r="K26" i="2"/>
  <c r="L26" i="2"/>
  <c r="C27" i="2"/>
  <c r="D27" i="2"/>
  <c r="E27" i="2"/>
  <c r="F27" i="2"/>
  <c r="G27" i="2"/>
  <c r="H27" i="2"/>
  <c r="I27" i="2"/>
  <c r="J27" i="2"/>
  <c r="K27" i="2"/>
  <c r="L27" i="2"/>
  <c r="C28" i="2"/>
  <c r="D28" i="2"/>
  <c r="E28" i="2"/>
  <c r="F28" i="2"/>
  <c r="G28" i="2"/>
  <c r="H28" i="2"/>
  <c r="I28" i="2"/>
  <c r="J28" i="2"/>
  <c r="K28" i="2"/>
  <c r="L28" i="2"/>
  <c r="C29" i="2"/>
  <c r="D29" i="2"/>
  <c r="E29" i="2"/>
  <c r="F29" i="2"/>
  <c r="G29" i="2"/>
  <c r="H29" i="2"/>
  <c r="I29" i="2"/>
  <c r="J29" i="2"/>
  <c r="K29" i="2"/>
  <c r="L29" i="2"/>
  <c r="C30" i="2"/>
  <c r="D30" i="2"/>
  <c r="E30" i="2"/>
  <c r="F30" i="2"/>
  <c r="G30" i="2"/>
  <c r="H30" i="2"/>
  <c r="I30" i="2"/>
  <c r="J30" i="2"/>
  <c r="K30" i="2"/>
  <c r="L30" i="2"/>
  <c r="C31" i="2"/>
  <c r="D31" i="2"/>
  <c r="E31" i="2"/>
  <c r="F31" i="2"/>
  <c r="G31" i="2"/>
  <c r="H31" i="2"/>
  <c r="I31" i="2"/>
  <c r="J31" i="2"/>
  <c r="K31" i="2"/>
  <c r="L31" i="2"/>
  <c r="C32" i="2"/>
  <c r="D32" i="2"/>
  <c r="E32" i="2"/>
  <c r="F32" i="2"/>
  <c r="G32" i="2"/>
  <c r="H32" i="2"/>
  <c r="I32" i="2"/>
  <c r="J32" i="2"/>
  <c r="K32" i="2"/>
  <c r="L32" i="2"/>
  <c r="C33" i="2"/>
  <c r="D33" i="2"/>
  <c r="E33" i="2"/>
  <c r="F33" i="2"/>
  <c r="G33" i="2"/>
  <c r="H33" i="2"/>
  <c r="I33" i="2"/>
  <c r="J33" i="2"/>
  <c r="K33" i="2"/>
  <c r="L33" i="2"/>
  <c r="C34" i="2"/>
  <c r="D34" i="2"/>
  <c r="E34" i="2"/>
  <c r="F34" i="2"/>
  <c r="G34" i="2"/>
  <c r="H34" i="2"/>
  <c r="I34" i="2"/>
  <c r="J34" i="2"/>
  <c r="K34" i="2"/>
  <c r="L34" i="2"/>
  <c r="C35" i="2"/>
  <c r="D35" i="2"/>
  <c r="E35" i="2"/>
  <c r="F35" i="2"/>
  <c r="G35" i="2"/>
  <c r="H35" i="2"/>
  <c r="I35" i="2"/>
  <c r="J35" i="2"/>
  <c r="K35" i="2"/>
  <c r="L35" i="2"/>
  <c r="B33" i="2"/>
  <c r="B34" i="2"/>
  <c r="B35" i="2"/>
  <c r="B27" i="2"/>
  <c r="B28" i="2"/>
  <c r="B29" i="2"/>
  <c r="B30" i="2"/>
  <c r="B31" i="2"/>
  <c r="B32" i="2"/>
  <c r="D103" i="3"/>
  <c r="D104" i="3"/>
  <c r="D105" i="3"/>
  <c r="D106" i="3"/>
  <c r="D107" i="3"/>
  <c r="D108" i="3"/>
  <c r="D109" i="3"/>
  <c r="D110" i="3"/>
  <c r="D111" i="3"/>
  <c r="D102" i="3"/>
  <c r="D93" i="3"/>
  <c r="D94" i="3"/>
  <c r="D95" i="3"/>
  <c r="D96" i="3"/>
  <c r="D97" i="3"/>
  <c r="D98" i="3"/>
  <c r="D99" i="3"/>
  <c r="D100" i="3"/>
  <c r="D101" i="3"/>
  <c r="D92" i="3"/>
  <c r="D83" i="3"/>
  <c r="D84" i="3"/>
  <c r="D85" i="3"/>
  <c r="D86" i="3"/>
  <c r="D87" i="3"/>
  <c r="D88" i="3"/>
  <c r="D89" i="3"/>
  <c r="D90" i="3"/>
  <c r="D91" i="3"/>
  <c r="D82" i="3"/>
  <c r="D73" i="3"/>
  <c r="D74" i="3"/>
  <c r="D75" i="3"/>
  <c r="D76" i="3"/>
  <c r="D77" i="3"/>
  <c r="D78" i="3"/>
  <c r="D79" i="3"/>
  <c r="D80" i="3"/>
  <c r="D81" i="3"/>
  <c r="D72" i="3"/>
  <c r="E103" i="3"/>
  <c r="E104" i="3"/>
  <c r="E105" i="3"/>
  <c r="E106" i="3"/>
  <c r="E107" i="3"/>
  <c r="E108" i="3"/>
  <c r="E109" i="3"/>
  <c r="E110" i="3"/>
  <c r="E111" i="3"/>
  <c r="E102" i="3"/>
  <c r="E93" i="3"/>
  <c r="E94" i="3"/>
  <c r="E95" i="3"/>
  <c r="E96" i="3"/>
  <c r="E97" i="3"/>
  <c r="E98" i="3"/>
  <c r="E99" i="3"/>
  <c r="E100" i="3"/>
  <c r="E101" i="3"/>
  <c r="E92" i="3"/>
  <c r="E83" i="3"/>
  <c r="E84" i="3"/>
  <c r="E85" i="3"/>
  <c r="E86" i="3"/>
  <c r="E87" i="3"/>
  <c r="E88" i="3"/>
  <c r="E89" i="3"/>
  <c r="E90" i="3"/>
  <c r="E91" i="3"/>
  <c r="E82" i="3"/>
  <c r="E73" i="3"/>
  <c r="E74" i="3"/>
  <c r="E75" i="3"/>
  <c r="E76" i="3"/>
  <c r="E77" i="3"/>
  <c r="E78" i="3"/>
  <c r="E79" i="3"/>
  <c r="E80" i="3"/>
  <c r="E81" i="3"/>
  <c r="E72" i="3"/>
  <c r="D63" i="3"/>
  <c r="D64" i="3"/>
  <c r="D65" i="3"/>
  <c r="D66" i="3"/>
  <c r="D67" i="3"/>
  <c r="D68" i="3"/>
  <c r="D69" i="3"/>
  <c r="D70" i="3"/>
  <c r="D71" i="3"/>
  <c r="E63" i="3"/>
  <c r="E64" i="3"/>
  <c r="E65" i="3"/>
  <c r="E66" i="3"/>
  <c r="E67" i="3"/>
  <c r="E68" i="3"/>
  <c r="E69" i="3"/>
  <c r="E70" i="3"/>
  <c r="E71" i="3"/>
  <c r="E62" i="3"/>
  <c r="D62" i="3"/>
  <c r="E53" i="3"/>
  <c r="E54" i="3"/>
  <c r="E55" i="3"/>
  <c r="E56" i="3"/>
  <c r="E57" i="3"/>
  <c r="E58" i="3"/>
  <c r="E59" i="3"/>
  <c r="E60" i="3"/>
  <c r="E61" i="3"/>
  <c r="E52" i="3"/>
  <c r="D53" i="3"/>
  <c r="D54" i="3"/>
  <c r="D55" i="3"/>
  <c r="D56" i="3"/>
  <c r="D57" i="3"/>
  <c r="D58" i="3"/>
  <c r="D59" i="3"/>
  <c r="D60" i="3"/>
  <c r="D61" i="3"/>
  <c r="D52" i="3"/>
  <c r="E43" i="3"/>
  <c r="E44" i="3"/>
  <c r="E45" i="3"/>
  <c r="E46" i="3"/>
  <c r="E47" i="3"/>
  <c r="E48" i="3"/>
  <c r="E49" i="3"/>
  <c r="E50" i="3"/>
  <c r="E51" i="3"/>
  <c r="E42" i="3"/>
  <c r="D43" i="3"/>
  <c r="D44" i="3"/>
  <c r="D45" i="3"/>
  <c r="D46" i="3"/>
  <c r="D47" i="3"/>
  <c r="D48" i="3"/>
  <c r="D49" i="3"/>
  <c r="D50" i="3"/>
  <c r="D51" i="3"/>
  <c r="D42" i="3"/>
  <c r="E33" i="3"/>
  <c r="E34" i="3"/>
  <c r="E35" i="3"/>
  <c r="E36" i="3"/>
  <c r="E37" i="3"/>
  <c r="E38" i="3"/>
  <c r="E39" i="3"/>
  <c r="E40" i="3"/>
  <c r="E41" i="3"/>
  <c r="E32" i="3"/>
  <c r="E23" i="3"/>
  <c r="E24" i="3"/>
  <c r="E25" i="3"/>
  <c r="E26" i="3"/>
  <c r="E27" i="3"/>
  <c r="E28" i="3"/>
  <c r="E29" i="3"/>
  <c r="E30" i="3"/>
  <c r="E31" i="3"/>
  <c r="E22" i="3"/>
  <c r="E13" i="3"/>
  <c r="E14" i="3"/>
  <c r="E15" i="3"/>
  <c r="E16" i="3"/>
  <c r="E17" i="3"/>
  <c r="E18" i="3"/>
  <c r="E19" i="3"/>
  <c r="E20" i="3"/>
  <c r="E21" i="3"/>
  <c r="E12" i="3"/>
  <c r="E3" i="3"/>
  <c r="E4" i="3"/>
  <c r="E5" i="3"/>
  <c r="E6" i="3"/>
  <c r="E7" i="3"/>
  <c r="E8" i="3"/>
  <c r="E9" i="3"/>
  <c r="E10" i="3"/>
  <c r="E11" i="3"/>
  <c r="E2" i="3"/>
  <c r="D33" i="3"/>
  <c r="D34" i="3"/>
  <c r="D35" i="3"/>
  <c r="D36" i="3"/>
  <c r="D37" i="3"/>
  <c r="D38" i="3"/>
  <c r="D39" i="3"/>
  <c r="D40" i="3"/>
  <c r="D41" i="3"/>
  <c r="D32" i="3"/>
  <c r="D23" i="3"/>
  <c r="D24" i="3"/>
  <c r="D25" i="3"/>
  <c r="D26" i="3"/>
  <c r="D27" i="3"/>
  <c r="D28" i="3"/>
  <c r="D29" i="3"/>
  <c r="D30" i="3"/>
  <c r="D31" i="3"/>
  <c r="D22" i="3"/>
  <c r="D13" i="3"/>
  <c r="D14" i="3"/>
  <c r="D15" i="3"/>
  <c r="D16" i="3"/>
  <c r="D17" i="3"/>
  <c r="D18" i="3"/>
  <c r="D19" i="3"/>
  <c r="D20" i="3"/>
  <c r="D21" i="3"/>
  <c r="D12" i="3"/>
  <c r="D3" i="3"/>
  <c r="D4" i="3"/>
  <c r="D5" i="3"/>
  <c r="D6" i="3"/>
  <c r="D7" i="3"/>
  <c r="D8" i="3"/>
  <c r="D9" i="3"/>
  <c r="D10" i="3"/>
  <c r="D11" i="3"/>
  <c r="D2" i="3"/>
  <c r="C14" i="2"/>
  <c r="D14" i="2"/>
  <c r="E14" i="2"/>
  <c r="F14" i="2"/>
  <c r="G14" i="2"/>
  <c r="H14" i="2"/>
  <c r="I14" i="2"/>
  <c r="J14" i="2"/>
  <c r="K14" i="2"/>
  <c r="L14" i="2"/>
  <c r="C15" i="2"/>
  <c r="D15" i="2"/>
  <c r="E15" i="2"/>
  <c r="F15" i="2"/>
  <c r="G15" i="2"/>
  <c r="H15" i="2"/>
  <c r="I15" i="2"/>
  <c r="J15" i="2"/>
  <c r="K15" i="2"/>
  <c r="L15" i="2"/>
  <c r="C16" i="2"/>
  <c r="D16" i="2"/>
  <c r="E16" i="2"/>
  <c r="F16" i="2"/>
  <c r="G16" i="2"/>
  <c r="H16" i="2"/>
  <c r="I16" i="2"/>
  <c r="J16" i="2"/>
  <c r="K16" i="2"/>
  <c r="L16" i="2"/>
  <c r="C17" i="2"/>
  <c r="D17" i="2"/>
  <c r="E17" i="2"/>
  <c r="F17" i="2"/>
  <c r="G17" i="2"/>
  <c r="H17" i="2"/>
  <c r="I17" i="2"/>
  <c r="J17" i="2"/>
  <c r="K17" i="2"/>
  <c r="L17" i="2"/>
  <c r="C18" i="2"/>
  <c r="D18" i="2"/>
  <c r="E18" i="2"/>
  <c r="F18" i="2"/>
  <c r="G18" i="2"/>
  <c r="H18" i="2"/>
  <c r="I18" i="2"/>
  <c r="J18" i="2"/>
  <c r="K18" i="2"/>
  <c r="L18" i="2"/>
  <c r="C19" i="2"/>
  <c r="D19" i="2"/>
  <c r="E19" i="2"/>
  <c r="F19" i="2"/>
  <c r="G19" i="2"/>
  <c r="H19" i="2"/>
  <c r="I19" i="2"/>
  <c r="J19" i="2"/>
  <c r="K19" i="2"/>
  <c r="L19" i="2"/>
  <c r="C20" i="2"/>
  <c r="D20" i="2"/>
  <c r="E20" i="2"/>
  <c r="F20" i="2"/>
  <c r="G20" i="2"/>
  <c r="H20" i="2"/>
  <c r="I20" i="2"/>
  <c r="J20" i="2"/>
  <c r="K20" i="2"/>
  <c r="L20" i="2"/>
  <c r="C21" i="2"/>
  <c r="D21" i="2"/>
  <c r="E21" i="2"/>
  <c r="F21" i="2"/>
  <c r="G21" i="2"/>
  <c r="H21" i="2"/>
  <c r="I21" i="2"/>
  <c r="J21" i="2"/>
  <c r="K21" i="2"/>
  <c r="L21" i="2"/>
  <c r="C22" i="2"/>
  <c r="D22" i="2"/>
  <c r="E22" i="2"/>
  <c r="F22" i="2"/>
  <c r="G22" i="2"/>
  <c r="H22" i="2"/>
  <c r="I22" i="2"/>
  <c r="J22" i="2"/>
  <c r="K22" i="2"/>
  <c r="L22" i="2"/>
  <c r="C23" i="2"/>
  <c r="D23" i="2"/>
  <c r="E23" i="2"/>
  <c r="F23" i="2"/>
  <c r="G23" i="2"/>
  <c r="H23" i="2"/>
  <c r="I23" i="2"/>
  <c r="J23" i="2"/>
  <c r="K23" i="2"/>
  <c r="L23" i="2"/>
  <c r="B15" i="2"/>
  <c r="B16" i="2"/>
  <c r="B17" i="2"/>
  <c r="B18" i="2"/>
  <c r="B19" i="2"/>
  <c r="B20" i="2"/>
  <c r="B21" i="2"/>
  <c r="B22" i="2"/>
  <c r="B23" i="2"/>
  <c r="F103" i="3"/>
  <c r="F104" i="3"/>
  <c r="F105" i="3"/>
  <c r="F106" i="3"/>
  <c r="F107" i="3"/>
  <c r="F108" i="3"/>
  <c r="F109" i="3"/>
  <c r="F110" i="3"/>
  <c r="F111" i="3"/>
  <c r="F102" i="3"/>
  <c r="F93" i="3"/>
  <c r="F94" i="3"/>
  <c r="F95" i="3"/>
  <c r="F96" i="3"/>
  <c r="F97" i="3"/>
  <c r="F98" i="3"/>
  <c r="F99" i="3"/>
  <c r="F100" i="3"/>
  <c r="F101" i="3"/>
  <c r="F92" i="3"/>
  <c r="F83" i="3"/>
  <c r="F84" i="3"/>
  <c r="F85" i="3"/>
  <c r="F86" i="3"/>
  <c r="F87" i="3"/>
  <c r="F88" i="3"/>
  <c r="F89" i="3"/>
  <c r="F90" i="3"/>
  <c r="F91" i="3"/>
  <c r="F82" i="3"/>
  <c r="F73" i="3"/>
  <c r="F74" i="3"/>
  <c r="F75" i="3"/>
  <c r="F76" i="3"/>
  <c r="F77" i="3"/>
  <c r="F78" i="3"/>
  <c r="F79" i="3"/>
  <c r="F80" i="3"/>
  <c r="F81" i="3"/>
  <c r="F72" i="3"/>
  <c r="F63" i="3"/>
  <c r="F64" i="3"/>
  <c r="F65" i="3"/>
  <c r="F66" i="3"/>
  <c r="F67" i="3"/>
  <c r="F68" i="3"/>
  <c r="F69" i="3"/>
  <c r="F70" i="3"/>
  <c r="F71" i="3"/>
  <c r="F62" i="3"/>
  <c r="F53" i="3"/>
  <c r="F54" i="3"/>
  <c r="F55" i="3"/>
  <c r="F56" i="3"/>
  <c r="F57" i="3"/>
  <c r="F58" i="3"/>
  <c r="F59" i="3"/>
  <c r="F60" i="3"/>
  <c r="F61" i="3"/>
  <c r="F52" i="3"/>
  <c r="F43" i="3"/>
  <c r="F44" i="3"/>
  <c r="F45" i="3"/>
  <c r="F46" i="3"/>
  <c r="F47" i="3"/>
  <c r="F48" i="3"/>
  <c r="F49" i="3"/>
  <c r="F50" i="3"/>
  <c r="F51" i="3"/>
  <c r="F42" i="3"/>
  <c r="F33" i="3"/>
  <c r="F34" i="3"/>
  <c r="F35" i="3"/>
  <c r="F36" i="3"/>
  <c r="F37" i="3"/>
  <c r="F38" i="3"/>
  <c r="F39" i="3"/>
  <c r="F40" i="3"/>
  <c r="F41" i="3"/>
  <c r="F32" i="3"/>
  <c r="F23" i="3"/>
  <c r="F24" i="3"/>
  <c r="F25" i="3"/>
  <c r="F26" i="3"/>
  <c r="F27" i="3"/>
  <c r="F28" i="3"/>
  <c r="F29" i="3"/>
  <c r="F30" i="3"/>
  <c r="F31" i="3"/>
  <c r="F22" i="3"/>
  <c r="F13" i="3"/>
  <c r="F14" i="3"/>
  <c r="F15" i="3"/>
  <c r="F16" i="3"/>
  <c r="F17" i="3"/>
  <c r="F18" i="3"/>
  <c r="F19" i="3"/>
  <c r="F20" i="3"/>
  <c r="F21" i="3"/>
  <c r="F12" i="3"/>
  <c r="F3" i="3"/>
  <c r="F4" i="3"/>
  <c r="F5" i="3"/>
  <c r="F6" i="3"/>
  <c r="F7" i="3"/>
  <c r="F8" i="3"/>
  <c r="F9" i="3"/>
  <c r="F10" i="3"/>
  <c r="F11" i="3"/>
  <c r="F2" i="3"/>
  <c r="T3" i="2"/>
  <c r="T4" i="2"/>
  <c r="T5" i="2"/>
  <c r="T6" i="2"/>
  <c r="T7" i="2"/>
  <c r="T8" i="2"/>
  <c r="T9" i="2"/>
  <c r="T10" i="2"/>
  <c r="T11" i="2"/>
  <c r="T2" i="2"/>
  <c r="S3" i="2"/>
  <c r="S4" i="2"/>
  <c r="S5" i="2"/>
  <c r="S6" i="2"/>
  <c r="S7" i="2"/>
  <c r="S8" i="2"/>
  <c r="S9" i="2"/>
  <c r="S10" i="2"/>
  <c r="S11" i="2"/>
  <c r="S2" i="2"/>
  <c r="Q3" i="2"/>
  <c r="Q4" i="2"/>
  <c r="Q5" i="2"/>
  <c r="Q6" i="2"/>
  <c r="Q7" i="2"/>
  <c r="Q8" i="2"/>
  <c r="Q9" i="2"/>
  <c r="Q10" i="2"/>
  <c r="Q11" i="2"/>
  <c r="Q2" i="2"/>
  <c r="L5" i="2"/>
  <c r="B103" i="3"/>
  <c r="B104" i="3"/>
  <c r="B105" i="3"/>
  <c r="B106" i="3"/>
  <c r="B107" i="3"/>
  <c r="B108" i="3"/>
  <c r="B109" i="3"/>
  <c r="B110" i="3"/>
  <c r="B111" i="3"/>
  <c r="B102" i="3"/>
  <c r="B93" i="3"/>
  <c r="B94" i="3"/>
  <c r="B95" i="3"/>
  <c r="B96" i="3"/>
  <c r="B97" i="3"/>
  <c r="B98" i="3"/>
  <c r="B99" i="3"/>
  <c r="B100" i="3"/>
  <c r="B101" i="3"/>
  <c r="B92" i="3"/>
  <c r="K3" i="2"/>
  <c r="N3" i="2"/>
  <c r="P3" i="2"/>
  <c r="K4" i="2"/>
  <c r="N4" i="2"/>
  <c r="P4" i="2"/>
  <c r="K5" i="2"/>
  <c r="N5" i="2"/>
  <c r="P5" i="2"/>
  <c r="K6" i="2"/>
  <c r="N6" i="2"/>
  <c r="P6" i="2"/>
  <c r="K7" i="2"/>
  <c r="N7" i="2"/>
  <c r="P7" i="2"/>
  <c r="K8" i="2"/>
  <c r="N8" i="2"/>
  <c r="P8" i="2"/>
  <c r="K9" i="2"/>
  <c r="N9" i="2"/>
  <c r="P9" i="2"/>
  <c r="K10" i="2"/>
  <c r="N10" i="2"/>
  <c r="P10" i="2"/>
  <c r="K11" i="2"/>
  <c r="P11" i="2"/>
  <c r="K2" i="2"/>
  <c r="N2" i="2"/>
  <c r="P2" i="2"/>
  <c r="F3" i="2"/>
  <c r="F4" i="2"/>
  <c r="F5" i="2"/>
  <c r="F6" i="2"/>
  <c r="F7" i="2"/>
  <c r="F8" i="2"/>
  <c r="F9" i="2"/>
  <c r="F10" i="2"/>
  <c r="F11" i="2"/>
  <c r="F2" i="2"/>
  <c r="J3" i="2"/>
  <c r="B83" i="3"/>
  <c r="J4" i="2"/>
  <c r="B84" i="3"/>
  <c r="J5" i="2"/>
  <c r="B85" i="3"/>
  <c r="J6" i="2"/>
  <c r="B86" i="3"/>
  <c r="J7" i="2"/>
  <c r="B87" i="3"/>
  <c r="J8" i="2"/>
  <c r="B88" i="3"/>
  <c r="J9" i="2"/>
  <c r="B89" i="3"/>
  <c r="J10" i="2"/>
  <c r="B90" i="3"/>
  <c r="J11" i="2"/>
  <c r="B91" i="3"/>
  <c r="J2" i="2"/>
  <c r="B82" i="3"/>
  <c r="I3" i="2"/>
  <c r="B73" i="3"/>
  <c r="I4" i="2"/>
  <c r="B74" i="3"/>
  <c r="I5" i="2"/>
  <c r="B75" i="3"/>
  <c r="I6" i="2"/>
  <c r="B76" i="3"/>
  <c r="I7" i="2"/>
  <c r="B77" i="3"/>
  <c r="I8" i="2"/>
  <c r="B78" i="3"/>
  <c r="I9" i="2"/>
  <c r="B79" i="3"/>
  <c r="I10" i="2"/>
  <c r="B80" i="3"/>
  <c r="I11" i="2"/>
  <c r="B81" i="3"/>
  <c r="I2" i="2"/>
  <c r="B72" i="3"/>
  <c r="H3" i="2"/>
  <c r="B63" i="3"/>
  <c r="H4" i="2"/>
  <c r="B64" i="3"/>
  <c r="H5" i="2"/>
  <c r="B65" i="3"/>
  <c r="H6" i="2"/>
  <c r="B66" i="3"/>
  <c r="H7" i="2"/>
  <c r="B67" i="3"/>
  <c r="H8" i="2"/>
  <c r="B68" i="3"/>
  <c r="H9" i="2"/>
  <c r="B69" i="3"/>
  <c r="H10" i="2"/>
  <c r="B70" i="3"/>
  <c r="H11" i="2"/>
  <c r="B71" i="3"/>
  <c r="H2" i="2"/>
  <c r="B62" i="3"/>
  <c r="G3" i="2"/>
  <c r="B53" i="3"/>
  <c r="G4" i="2"/>
  <c r="B54" i="3"/>
  <c r="G5" i="2"/>
  <c r="B55" i="3"/>
  <c r="G6" i="2"/>
  <c r="B56" i="3"/>
  <c r="G7" i="2"/>
  <c r="B57" i="3"/>
  <c r="G8" i="2"/>
  <c r="B58" i="3"/>
  <c r="G9" i="2"/>
  <c r="B59" i="3"/>
  <c r="G10" i="2"/>
  <c r="B60" i="3"/>
  <c r="G11" i="2"/>
  <c r="B61" i="3"/>
  <c r="G2" i="2"/>
  <c r="B52" i="3"/>
  <c r="B43" i="3"/>
  <c r="B44" i="3"/>
  <c r="B45" i="3"/>
  <c r="B46" i="3"/>
  <c r="B47" i="3"/>
  <c r="B48" i="3"/>
  <c r="B49" i="3"/>
  <c r="B50" i="3"/>
  <c r="B51" i="3"/>
  <c r="B42" i="3"/>
  <c r="E3" i="2"/>
  <c r="B33" i="3"/>
  <c r="E4" i="2"/>
  <c r="B34" i="3"/>
  <c r="E5" i="2"/>
  <c r="B35" i="3"/>
  <c r="E6" i="2"/>
  <c r="B36" i="3"/>
  <c r="E7" i="2"/>
  <c r="B37" i="3"/>
  <c r="E8" i="2"/>
  <c r="B38" i="3"/>
  <c r="E9" i="2"/>
  <c r="B39" i="3"/>
  <c r="E10" i="2"/>
  <c r="B40" i="3"/>
  <c r="E11" i="2"/>
  <c r="B41" i="3"/>
  <c r="E2" i="2"/>
  <c r="B32" i="3"/>
  <c r="D3" i="2"/>
  <c r="B23" i="3"/>
  <c r="D4" i="2"/>
  <c r="B24" i="3"/>
  <c r="D5" i="2"/>
  <c r="B25" i="3"/>
  <c r="D6" i="2"/>
  <c r="B26" i="3"/>
  <c r="D7" i="2"/>
  <c r="B27" i="3"/>
  <c r="D8" i="2"/>
  <c r="B28" i="3"/>
  <c r="D9" i="2"/>
  <c r="B29" i="3"/>
  <c r="D10" i="2"/>
  <c r="B30" i="3"/>
  <c r="D11" i="2"/>
  <c r="B31" i="3"/>
  <c r="D2" i="2"/>
  <c r="B22" i="3"/>
  <c r="C3" i="2"/>
  <c r="B13" i="3"/>
  <c r="C4" i="2"/>
  <c r="B14" i="3"/>
  <c r="C5" i="2"/>
  <c r="B15" i="3"/>
  <c r="C6" i="2"/>
  <c r="B16" i="3"/>
  <c r="C7" i="2"/>
  <c r="B17" i="3"/>
  <c r="C8" i="2"/>
  <c r="B18" i="3"/>
  <c r="C9" i="2"/>
  <c r="B19" i="3"/>
  <c r="C10" i="2"/>
  <c r="B20" i="3"/>
  <c r="C11" i="2"/>
  <c r="B21" i="3"/>
  <c r="C2" i="2"/>
  <c r="B12" i="3"/>
  <c r="B3" i="2"/>
  <c r="B3" i="3"/>
  <c r="B4" i="2"/>
  <c r="B4" i="3"/>
  <c r="B5" i="2"/>
  <c r="B5" i="3"/>
  <c r="B6" i="2"/>
  <c r="B6" i="3"/>
  <c r="B7" i="2"/>
  <c r="B7" i="3"/>
  <c r="B8" i="2"/>
  <c r="B8" i="3"/>
  <c r="B9" i="2"/>
  <c r="B9" i="3"/>
  <c r="B10" i="2"/>
  <c r="B10" i="3"/>
  <c r="B11" i="2"/>
  <c r="B11" i="3"/>
  <c r="B2" i="2"/>
  <c r="B2" i="3"/>
  <c r="L3" i="2"/>
  <c r="O3" i="2"/>
  <c r="O2" i="2"/>
  <c r="A103" i="3"/>
  <c r="L4" i="2"/>
  <c r="O4" i="2"/>
  <c r="A104" i="3"/>
  <c r="O5" i="2"/>
  <c r="A105" i="3"/>
  <c r="L6" i="2"/>
  <c r="O6" i="2"/>
  <c r="A106" i="3"/>
  <c r="L7" i="2"/>
  <c r="O7" i="2"/>
  <c r="A107" i="3"/>
  <c r="L8" i="2"/>
  <c r="O8" i="2"/>
  <c r="A108" i="3"/>
  <c r="L9" i="2"/>
  <c r="O9" i="2"/>
  <c r="A109" i="3"/>
  <c r="L10" i="2"/>
  <c r="O10" i="2"/>
  <c r="A110" i="3"/>
  <c r="L11" i="2"/>
  <c r="O11" i="2"/>
  <c r="A111" i="3"/>
  <c r="L2" i="2"/>
  <c r="A102" i="3"/>
  <c r="A93" i="3"/>
  <c r="A94" i="3"/>
  <c r="A95" i="3"/>
  <c r="A96" i="3"/>
  <c r="A97" i="3"/>
  <c r="A98" i="3"/>
  <c r="A99" i="3"/>
  <c r="A100" i="3"/>
  <c r="A101" i="3"/>
  <c r="A92" i="3"/>
  <c r="A83" i="3"/>
  <c r="A84" i="3"/>
  <c r="A85" i="3"/>
  <c r="A86" i="3"/>
  <c r="A87" i="3"/>
  <c r="A88" i="3"/>
  <c r="A89" i="3"/>
  <c r="A90" i="3"/>
  <c r="A91" i="3"/>
  <c r="A82" i="3"/>
  <c r="A73" i="3"/>
  <c r="A74" i="3"/>
  <c r="A75" i="3"/>
  <c r="A76" i="3"/>
  <c r="A77" i="3"/>
  <c r="A78" i="3"/>
  <c r="A79" i="3"/>
  <c r="A80" i="3"/>
  <c r="A81" i="3"/>
  <c r="A72" i="3"/>
  <c r="A63" i="3"/>
  <c r="A64" i="3"/>
  <c r="A65" i="3"/>
  <c r="A66" i="3"/>
  <c r="A67" i="3"/>
  <c r="A68" i="3"/>
  <c r="A69" i="3"/>
  <c r="A70" i="3"/>
  <c r="A71" i="3"/>
  <c r="A62" i="3"/>
  <c r="A53" i="3"/>
  <c r="A54" i="3"/>
  <c r="A55" i="3"/>
  <c r="A56" i="3"/>
  <c r="A57" i="3"/>
  <c r="A58" i="3"/>
  <c r="A59" i="3"/>
  <c r="A60" i="3"/>
  <c r="A61" i="3"/>
  <c r="A52" i="3"/>
  <c r="A45" i="3"/>
  <c r="A46" i="3"/>
  <c r="A47" i="3"/>
  <c r="A48" i="3"/>
  <c r="A49" i="3"/>
  <c r="A50" i="3"/>
  <c r="A51" i="3"/>
  <c r="A44" i="3"/>
  <c r="A43" i="3"/>
  <c r="A42" i="3"/>
  <c r="A33" i="3"/>
  <c r="A34" i="3"/>
  <c r="A35" i="3"/>
  <c r="A36" i="3"/>
  <c r="A37" i="3"/>
  <c r="A38" i="3"/>
  <c r="A39" i="3"/>
  <c r="A40" i="3"/>
  <c r="A41" i="3"/>
  <c r="A32" i="3"/>
  <c r="A23" i="3"/>
  <c r="A24" i="3"/>
  <c r="A25" i="3"/>
  <c r="A26" i="3"/>
  <c r="A27" i="3"/>
  <c r="A28" i="3"/>
  <c r="A29" i="3"/>
  <c r="A30" i="3"/>
  <c r="A31" i="3"/>
  <c r="A22" i="3"/>
  <c r="A13" i="3"/>
  <c r="A14" i="3"/>
  <c r="A15" i="3"/>
  <c r="A16" i="3"/>
  <c r="A17" i="3"/>
  <c r="A18" i="3"/>
  <c r="A19" i="3"/>
  <c r="A20" i="3"/>
  <c r="A21" i="3"/>
  <c r="A12" i="3"/>
  <c r="A3" i="3"/>
  <c r="A4" i="3"/>
  <c r="A5" i="3"/>
  <c r="A6" i="3"/>
  <c r="A7" i="3"/>
  <c r="A8" i="3"/>
  <c r="A9" i="3"/>
  <c r="A10" i="3"/>
  <c r="A11" i="3"/>
  <c r="A2" i="3"/>
</calcChain>
</file>

<file path=xl/sharedStrings.xml><?xml version="1.0" encoding="utf-8"?>
<sst xmlns="http://schemas.openxmlformats.org/spreadsheetml/2006/main" count="143" uniqueCount="71">
  <si>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</si>
  <si>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</si>
  <si>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</si>
  <si>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</si>
  <si>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</si>
  <si>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</si>
  <si>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</si>
  <si>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</si>
  <si>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</si>
  <si>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</si>
  <si>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</si>
  <si>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</si>
  <si>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</si>
  <si>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</si>
  <si>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</si>
  <si>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</si>
  <si>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</si>
  <si>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</si>
  <si>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</si>
  <si>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</si>
  <si>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</si>
  <si>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</si>
  <si>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</si>
  <si>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</si>
  <si>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</si>
  <si>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</si>
  <si>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</si>
  <si>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</si>
  <si>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</si>
  <si>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</si>
  <si>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</si>
  <si>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</si>
  <si>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</si>
  <si>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</si>
  <si>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</si>
  <si>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</si>
  <si>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</si>
  <si>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</si>
  <si>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</si>
  <si>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</si>
  <si>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</si>
  <si>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</si>
  <si>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</si>
  <si>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</si>
  <si>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</si>
  <si>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</si>
  <si>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</si>
  <si>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5M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</si>
  <si>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</si>
  <si>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</si>
  <si>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</si>
  <si>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</si>
  <si>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</si>
  <si>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</si>
  <si>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</si>
  <si>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</si>
  <si>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</si>
  <si>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</si>
  <si>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</si>
  <si>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</si>
  <si>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</si>
  <si>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</si>
  <si>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6Y</t>
  </si>
  <si>
    <t>15Y</t>
  </si>
  <si>
    <t>20Y</t>
  </si>
  <si>
    <t>25Y</t>
  </si>
  <si>
    <t>30Y</t>
  </si>
  <si>
    <t>USD Interest rate</t>
  </si>
  <si>
    <t>USDCHF Forward exchange  rate</t>
  </si>
  <si>
    <t>domestic</t>
  </si>
  <si>
    <t>foreign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</si>
</sst>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01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6"/>
  <sheetViews>
    <sheetView topLeftCell="U2" zoomScale="125" zoomScaleNormal="125" zoomScalePageLayoutView="125" workbookViewId="0">
      <selection activeCell="AC4" sqref="AC4:AC14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48</v>
      </c>
      <c r="B1" s="16" t="s">
        <v>0</v>
      </c>
      <c r="C1" s="16"/>
      <c r="D1" s="16" t="s">
        <v>49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31</v>
      </c>
      <c r="AD1" s="1"/>
    </row>
    <row r="2" spans="1:30" x14ac:dyDescent="0.2">
      <c r="A2" s="16"/>
      <c r="B2" s="16" t="s">
        <v>1</v>
      </c>
      <c r="C2" s="16"/>
      <c r="D2" s="16" t="s">
        <v>50</v>
      </c>
      <c r="E2" s="16"/>
      <c r="F2" s="16" t="s">
        <v>51</v>
      </c>
      <c r="G2" s="16"/>
      <c r="H2" s="16" t="s">
        <v>52</v>
      </c>
      <c r="I2" s="16"/>
      <c r="J2" s="16" t="s">
        <v>53</v>
      </c>
      <c r="K2" s="16"/>
      <c r="L2" s="16" t="s">
        <v>54</v>
      </c>
      <c r="M2" s="16"/>
      <c r="N2" s="16" t="s">
        <v>55</v>
      </c>
      <c r="O2" s="16"/>
      <c r="P2" t="s">
        <v>56</v>
      </c>
      <c r="Q2"/>
      <c r="R2" t="s">
        <v>57</v>
      </c>
      <c r="S2"/>
      <c r="T2" t="s">
        <v>58</v>
      </c>
      <c r="U2"/>
      <c r="V2" t="s">
        <v>59</v>
      </c>
      <c r="W2"/>
      <c r="AD2" s="1"/>
    </row>
    <row r="3" spans="1:30" x14ac:dyDescent="0.2">
      <c r="A3" s="16"/>
      <c r="B3" s="16" t="s">
        <v>60</v>
      </c>
      <c r="C3" s="16" t="s">
        <v>61</v>
      </c>
      <c r="D3" s="16" t="s">
        <v>60</v>
      </c>
      <c r="E3" s="16" t="s">
        <v>61</v>
      </c>
      <c r="F3" s="16" t="s">
        <v>60</v>
      </c>
      <c r="G3" s="16" t="s">
        <v>61</v>
      </c>
      <c r="H3" s="16" t="s">
        <v>60</v>
      </c>
      <c r="I3" s="16" t="s">
        <v>61</v>
      </c>
      <c r="J3" s="16" t="s">
        <v>60</v>
      </c>
      <c r="K3" s="16" t="s">
        <v>61</v>
      </c>
      <c r="L3" s="16" t="s">
        <v>60</v>
      </c>
      <c r="M3" s="16" t="s">
        <v>61</v>
      </c>
      <c r="N3" s="16" t="s">
        <v>60</v>
      </c>
      <c r="O3" s="16" t="s">
        <v>61</v>
      </c>
      <c r="P3" t="s">
        <v>60</v>
      </c>
      <c r="Q3" t="s">
        <v>61</v>
      </c>
      <c r="R3" t="s">
        <v>60</v>
      </c>
      <c r="S3" t="s">
        <v>61</v>
      </c>
      <c r="T3" t="s">
        <v>60</v>
      </c>
      <c r="U3" t="s">
        <v>61</v>
      </c>
      <c r="V3" t="s">
        <v>60</v>
      </c>
      <c r="W3" t="s">
        <v>61</v>
      </c>
      <c r="Z3" s="12" t="s">
        <v>29</v>
      </c>
      <c r="AA3" s="13" t="s">
        <v>44</v>
      </c>
      <c r="AB3" s="13" t="s">
        <v>45</v>
      </c>
      <c r="AC3" s="13" t="s">
        <v>46</v>
      </c>
      <c r="AD3" s="1"/>
    </row>
    <row r="4" spans="1:30" s="15" customFormat="1" x14ac:dyDescent="0.2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">
      <c r="A11" s="16" t="s">
        <v>47</v>
      </c>
      <c r="B11" s="16">
        <v>7.4359999999999999</v>
      </c>
      <c r="C11" s="16">
        <v>0.56799999999999995</v>
      </c>
      <c r="D11" s="16">
        <v>7.3609999999999998</v>
      </c>
      <c r="E11" s="16">
        <v>0.60299999999999998</v>
      </c>
      <c r="F11" s="16">
        <v>7.734</v>
      </c>
      <c r="G11" s="16">
        <v>0.61699999999999999</v>
      </c>
      <c r="H11" s="16">
        <v>7.4580000000000002</v>
      </c>
      <c r="I11" s="16">
        <v>0.7</v>
      </c>
      <c r="J11" s="16">
        <v>8.1110000000000007</v>
      </c>
      <c r="K11" s="16">
        <v>0.72199999999999998</v>
      </c>
      <c r="L11" s="16">
        <v>7.734</v>
      </c>
      <c r="M11" s="16">
        <v>0.95199999999999996</v>
      </c>
      <c r="N11" s="16">
        <v>8.7309999999999999</v>
      </c>
      <c r="O11" s="16">
        <v>0.98799999999999999</v>
      </c>
      <c r="P11">
        <v>7.9870000000000001</v>
      </c>
      <c r="Q11">
        <v>1.2649999999999999</v>
      </c>
      <c r="R11">
        <v>9.1999999999999993</v>
      </c>
      <c r="S11">
        <v>1.3140000000000001</v>
      </c>
      <c r="T11">
        <v>8.3940000000000001</v>
      </c>
      <c r="U11">
        <v>2.15</v>
      </c>
      <c r="V11">
        <v>9.86</v>
      </c>
      <c r="W11">
        <v>2.2370000000000001</v>
      </c>
      <c r="Z11" s="12" t="s">
        <v>19</v>
      </c>
      <c r="AA11" s="14">
        <v>1.116E-2</v>
      </c>
      <c r="AB11" s="14">
        <v>-1.2200000000000001E-2</v>
      </c>
      <c r="AC11" s="13">
        <v>0.96450000000000002</v>
      </c>
    </row>
    <row r="12" spans="1:30" s="15" customFormat="1" x14ac:dyDescent="0.2">
      <c r="A12" s="16" t="s">
        <v>19</v>
      </c>
      <c r="B12" s="16">
        <v>7.4989999999999997</v>
      </c>
      <c r="C12" s="16">
        <v>0.57499999999999996</v>
      </c>
      <c r="D12" s="16">
        <v>7.4219999999999997</v>
      </c>
      <c r="E12" s="16">
        <v>0.61</v>
      </c>
      <c r="F12" s="16">
        <v>7.8049999999999997</v>
      </c>
      <c r="G12" s="16">
        <v>0.626</v>
      </c>
      <c r="H12" s="16">
        <v>7.5259999999999998</v>
      </c>
      <c r="I12" s="16">
        <v>0.70699999999999996</v>
      </c>
      <c r="J12" s="16">
        <v>8.2010000000000005</v>
      </c>
      <c r="K12" s="16">
        <v>0.73299999999999998</v>
      </c>
      <c r="L12" s="16">
        <v>7.827</v>
      </c>
      <c r="M12" s="16">
        <v>0.96199999999999997</v>
      </c>
      <c r="N12" s="16">
        <v>8.8550000000000004</v>
      </c>
      <c r="O12" s="16">
        <v>1.002</v>
      </c>
      <c r="P12">
        <v>8.0939999999999994</v>
      </c>
      <c r="Q12">
        <v>1.2769999999999999</v>
      </c>
      <c r="R12">
        <v>9.3239999999999998</v>
      </c>
      <c r="S12">
        <v>1.333</v>
      </c>
      <c r="T12">
        <v>8.5289999999999999</v>
      </c>
      <c r="U12">
        <v>2.1709999999999998</v>
      </c>
      <c r="V12">
        <v>10.035</v>
      </c>
      <c r="W12">
        <v>2.2690000000000001</v>
      </c>
      <c r="Z12" s="12" t="s">
        <v>20</v>
      </c>
      <c r="AA12" s="14">
        <v>1.166E-2</v>
      </c>
      <c r="AB12" s="14">
        <v>-1.242E-2</v>
      </c>
      <c r="AC12" s="13">
        <v>0.95820000000000005</v>
      </c>
    </row>
    <row r="13" spans="1:30" s="15" customFormat="1" x14ac:dyDescent="0.2">
      <c r="A13" s="16" t="s">
        <v>20</v>
      </c>
      <c r="B13" s="16">
        <v>7.726</v>
      </c>
      <c r="C13" s="16">
        <v>0.55000000000000004</v>
      </c>
      <c r="D13" s="16">
        <v>7.6459999999999999</v>
      </c>
      <c r="E13" s="16">
        <v>0.57999999999999996</v>
      </c>
      <c r="F13" s="16">
        <v>8.0559999999999992</v>
      </c>
      <c r="G13" s="16">
        <v>0.6</v>
      </c>
      <c r="H13" s="16">
        <v>7.7690000000000001</v>
      </c>
      <c r="I13" s="16">
        <v>0.67200000000000004</v>
      </c>
      <c r="J13" s="16">
        <v>8.4969999999999999</v>
      </c>
      <c r="K13" s="16">
        <v>0.70199999999999996</v>
      </c>
      <c r="L13" s="16">
        <v>8.11</v>
      </c>
      <c r="M13" s="16">
        <v>0.91200000000000003</v>
      </c>
      <c r="N13" s="16">
        <v>9.2319999999999993</v>
      </c>
      <c r="O13" s="16">
        <v>0.96099999999999997</v>
      </c>
      <c r="P13">
        <v>8.4109999999999996</v>
      </c>
      <c r="Q13">
        <v>1.2110000000000001</v>
      </c>
      <c r="R13">
        <v>9.7710000000000008</v>
      </c>
      <c r="S13">
        <v>1.2789999999999999</v>
      </c>
      <c r="T13">
        <v>8.9120000000000008</v>
      </c>
      <c r="U13">
        <v>2.0569999999999999</v>
      </c>
      <c r="V13">
        <v>10.571</v>
      </c>
      <c r="W13">
        <v>2.1779999999999999</v>
      </c>
      <c r="Z13" s="12" t="s">
        <v>21</v>
      </c>
      <c r="AA13" s="14">
        <v>1.197E-2</v>
      </c>
      <c r="AB13" s="14">
        <v>-1.2370000000000001E-2</v>
      </c>
      <c r="AC13" s="13">
        <v>0.95209999999999995</v>
      </c>
    </row>
    <row r="14" spans="1:30" x14ac:dyDescent="0.2">
      <c r="A14" s="16" t="s">
        <v>21</v>
      </c>
      <c r="B14" s="16">
        <v>7.9080000000000004</v>
      </c>
      <c r="C14" s="16">
        <v>0.54500000000000004</v>
      </c>
      <c r="D14" s="16">
        <v>7.8280000000000003</v>
      </c>
      <c r="E14" s="16">
        <v>0.57499999999999996</v>
      </c>
      <c r="F14" s="16">
        <v>8.2430000000000003</v>
      </c>
      <c r="G14" s="16">
        <v>0.59799999999999998</v>
      </c>
      <c r="H14" s="16">
        <v>7.9740000000000002</v>
      </c>
      <c r="I14" s="16">
        <v>0.66600000000000004</v>
      </c>
      <c r="J14" s="16">
        <v>8.7070000000000007</v>
      </c>
      <c r="K14" s="16">
        <v>0.70199999999999996</v>
      </c>
      <c r="L14" s="16">
        <v>8.3580000000000005</v>
      </c>
      <c r="M14" s="16">
        <v>0.90400000000000003</v>
      </c>
      <c r="N14" s="16">
        <v>9.4979999999999993</v>
      </c>
      <c r="O14" s="16">
        <v>0.96199999999999997</v>
      </c>
      <c r="P14">
        <v>8.702</v>
      </c>
      <c r="Q14">
        <v>1.2010000000000001</v>
      </c>
      <c r="R14">
        <v>10.084</v>
      </c>
      <c r="S14">
        <v>1.282</v>
      </c>
      <c r="T14">
        <v>9.2569999999999997</v>
      </c>
      <c r="U14">
        <v>2.0409999999999999</v>
      </c>
      <c r="V14">
        <v>10.935</v>
      </c>
      <c r="W14">
        <v>2.1850000000000001</v>
      </c>
      <c r="Z14" s="12" t="s">
        <v>22</v>
      </c>
      <c r="AA14" s="14">
        <v>1.2840000000000001E-2</v>
      </c>
      <c r="AB14" s="14">
        <v>-1.227E-2</v>
      </c>
      <c r="AC14" s="13">
        <v>0.93940000000000001</v>
      </c>
      <c r="AD14" s="1"/>
    </row>
    <row r="15" spans="1:30" x14ac:dyDescent="0.2">
      <c r="A15" s="16" t="s">
        <v>22</v>
      </c>
      <c r="B15" s="16">
        <v>8.0749999999999993</v>
      </c>
      <c r="C15" s="16">
        <v>0.6</v>
      </c>
      <c r="D15" s="16">
        <v>7.9779999999999998</v>
      </c>
      <c r="E15" s="16">
        <v>0.629</v>
      </c>
      <c r="F15" s="16">
        <v>8.4429999999999996</v>
      </c>
      <c r="G15" s="16">
        <v>0.66100000000000003</v>
      </c>
      <c r="H15" s="16">
        <v>8.1189999999999998</v>
      </c>
      <c r="I15" s="16">
        <v>0.72699999999999998</v>
      </c>
      <c r="J15" s="16">
        <v>8.9220000000000006</v>
      </c>
      <c r="K15" s="16">
        <v>0.77700000000000002</v>
      </c>
      <c r="L15" s="16">
        <v>8.4939999999999998</v>
      </c>
      <c r="M15" s="16">
        <v>0.98699999999999999</v>
      </c>
      <c r="N15" s="16">
        <v>9.7219999999999995</v>
      </c>
      <c r="O15" s="16">
        <v>1.0660000000000001</v>
      </c>
      <c r="P15">
        <v>8.8219999999999992</v>
      </c>
      <c r="Q15">
        <v>1.3109999999999999</v>
      </c>
      <c r="R15">
        <v>10.314</v>
      </c>
      <c r="S15">
        <v>1.421</v>
      </c>
      <c r="T15">
        <v>9.3710000000000004</v>
      </c>
      <c r="U15">
        <v>2.2269999999999999</v>
      </c>
      <c r="V15">
        <v>11.186</v>
      </c>
      <c r="W15">
        <v>2.4249999999999998</v>
      </c>
      <c r="AD15" s="1"/>
    </row>
    <row r="16" spans="1:30" x14ac:dyDescent="0.2">
      <c r="A16" s="16" t="s">
        <v>23</v>
      </c>
      <c r="B16" s="16">
        <v>8.1630000000000003</v>
      </c>
      <c r="C16" s="16">
        <v>0.64500000000000002</v>
      </c>
      <c r="D16" s="16">
        <v>8.0399999999999991</v>
      </c>
      <c r="E16" s="16">
        <v>0.67200000000000004</v>
      </c>
      <c r="F16" s="16">
        <v>8.5449999999999999</v>
      </c>
      <c r="G16" s="16">
        <v>0.71199999999999997</v>
      </c>
      <c r="H16" s="16">
        <v>8.1790000000000003</v>
      </c>
      <c r="I16" s="16">
        <v>0.77700000000000002</v>
      </c>
      <c r="J16" s="16">
        <v>9.0519999999999996</v>
      </c>
      <c r="K16" s="16">
        <v>0.83899999999999997</v>
      </c>
      <c r="L16" s="16">
        <v>8.5719999999999992</v>
      </c>
      <c r="M16" s="16">
        <v>1.0529999999999999</v>
      </c>
      <c r="N16" s="16">
        <v>9.9090000000000007</v>
      </c>
      <c r="O16" s="16">
        <v>1.153</v>
      </c>
      <c r="P16">
        <v>8.9179999999999993</v>
      </c>
      <c r="Q16">
        <v>1.3979999999999999</v>
      </c>
      <c r="R16">
        <v>10.548</v>
      </c>
      <c r="S16">
        <v>1.538</v>
      </c>
      <c r="T16">
        <v>9.4930000000000003</v>
      </c>
      <c r="U16">
        <v>2.3740000000000001</v>
      </c>
      <c r="V16">
        <v>11.471</v>
      </c>
      <c r="W16">
        <v>2.6259999999999999</v>
      </c>
    </row>
    <row r="17" spans="1:23" x14ac:dyDescent="0.2">
      <c r="A17" s="16" t="s">
        <v>24</v>
      </c>
      <c r="B17" s="16">
        <v>8.5250000000000004</v>
      </c>
      <c r="C17" s="16">
        <v>0.8</v>
      </c>
      <c r="D17" s="16">
        <v>8.36</v>
      </c>
      <c r="E17" s="16">
        <v>0.82499999999999996</v>
      </c>
      <c r="F17" s="16">
        <v>8.9350000000000005</v>
      </c>
      <c r="G17" s="16">
        <v>0.88800000000000001</v>
      </c>
      <c r="H17" s="16">
        <v>8.468</v>
      </c>
      <c r="I17" s="16">
        <v>0.95</v>
      </c>
      <c r="J17" s="16">
        <v>9.4529999999999994</v>
      </c>
      <c r="K17" s="16">
        <v>1.0489999999999999</v>
      </c>
      <c r="L17" s="16">
        <v>8.8130000000000006</v>
      </c>
      <c r="M17" s="16">
        <v>1.288</v>
      </c>
      <c r="N17" s="16">
        <v>10.298</v>
      </c>
      <c r="O17" s="16">
        <v>1.4450000000000001</v>
      </c>
      <c r="P17">
        <v>9.1199999999999992</v>
      </c>
      <c r="Q17">
        <v>1.7110000000000001</v>
      </c>
      <c r="R17">
        <v>10.92</v>
      </c>
      <c r="S17">
        <v>1.929</v>
      </c>
      <c r="T17">
        <v>9.6440000000000001</v>
      </c>
      <c r="U17">
        <v>2.9020000000000001</v>
      </c>
      <c r="V17">
        <v>11.843</v>
      </c>
      <c r="W17">
        <v>3.2959999999999998</v>
      </c>
    </row>
    <row r="18" spans="1:23" x14ac:dyDescent="0.2">
      <c r="A18" s="16" t="s">
        <v>25</v>
      </c>
      <c r="B18" s="16">
        <v>8.6850000000000005</v>
      </c>
      <c r="C18" s="16">
        <v>0.89</v>
      </c>
      <c r="D18" s="16">
        <v>8.5</v>
      </c>
      <c r="E18" s="16">
        <v>0.91</v>
      </c>
      <c r="F18" s="16">
        <v>9.09</v>
      </c>
      <c r="G18" s="16">
        <v>0.99199999999999999</v>
      </c>
      <c r="H18" s="16">
        <v>8.61</v>
      </c>
      <c r="I18" s="16">
        <v>1.0449999999999999</v>
      </c>
      <c r="J18" s="16">
        <v>9.61</v>
      </c>
      <c r="K18" s="16">
        <v>1.173</v>
      </c>
      <c r="L18" s="16">
        <v>8.9529999999999994</v>
      </c>
      <c r="M18" s="16">
        <v>1.415</v>
      </c>
      <c r="N18" s="16">
        <v>10.468</v>
      </c>
      <c r="O18" s="16">
        <v>1.619</v>
      </c>
      <c r="P18">
        <v>9.2590000000000003</v>
      </c>
      <c r="Q18">
        <v>1.879</v>
      </c>
      <c r="R18">
        <v>11.101000000000001</v>
      </c>
      <c r="S18">
        <v>2.1640000000000001</v>
      </c>
      <c r="T18">
        <v>9.7850000000000001</v>
      </c>
      <c r="U18">
        <v>3.1850000000000001</v>
      </c>
      <c r="V18">
        <v>12.042</v>
      </c>
      <c r="W18">
        <v>3.702</v>
      </c>
    </row>
    <row r="19" spans="1:23" x14ac:dyDescent="0.2">
      <c r="A19" s="16" t="s">
        <v>26</v>
      </c>
      <c r="B19" s="16">
        <v>8.7850000000000001</v>
      </c>
      <c r="C19" s="16">
        <v>0.95</v>
      </c>
      <c r="D19" s="16">
        <v>8.59</v>
      </c>
      <c r="E19" s="16">
        <v>0.96299999999999997</v>
      </c>
      <c r="F19" s="16">
        <v>9.19</v>
      </c>
      <c r="G19" s="16">
        <v>1.0609999999999999</v>
      </c>
      <c r="H19" s="16">
        <v>8.6989999999999998</v>
      </c>
      <c r="I19" s="16">
        <v>1.1040000000000001</v>
      </c>
      <c r="J19" s="16">
        <v>9.7110000000000003</v>
      </c>
      <c r="K19" s="16">
        <v>1.258</v>
      </c>
      <c r="L19" s="16">
        <v>9.0459999999999994</v>
      </c>
      <c r="M19" s="16">
        <v>1.4930000000000001</v>
      </c>
      <c r="N19" s="16">
        <v>10.579000000000001</v>
      </c>
      <c r="O19" s="16">
        <v>1.7390000000000001</v>
      </c>
      <c r="P19">
        <v>9.3580000000000005</v>
      </c>
      <c r="Q19">
        <v>1.982</v>
      </c>
      <c r="R19">
        <v>11.223000000000001</v>
      </c>
      <c r="S19">
        <v>2.3260000000000001</v>
      </c>
      <c r="T19">
        <v>9.8940000000000001</v>
      </c>
      <c r="U19">
        <v>3.3570000000000002</v>
      </c>
      <c r="V19">
        <v>12.180999999999999</v>
      </c>
      <c r="W19">
        <v>3.9830000000000001</v>
      </c>
    </row>
    <row r="20" spans="1:23" x14ac:dyDescent="0.2">
      <c r="A20" s="16" t="s">
        <v>62</v>
      </c>
      <c r="B20" s="16">
        <v>8.6959999999999997</v>
      </c>
      <c r="C20" s="16">
        <v>0.82599999999999996</v>
      </c>
      <c r="D20" s="16">
        <v>8.4819999999999993</v>
      </c>
      <c r="E20" s="16">
        <v>0.83199999999999996</v>
      </c>
      <c r="F20" s="16">
        <v>9.07</v>
      </c>
      <c r="G20" s="16">
        <v>0.92400000000000004</v>
      </c>
      <c r="H20" s="16">
        <v>8.5549999999999997</v>
      </c>
      <c r="I20" s="16">
        <v>0.95199999999999996</v>
      </c>
      <c r="J20" s="16">
        <v>9.5449999999999999</v>
      </c>
      <c r="K20" s="16">
        <v>1.0960000000000001</v>
      </c>
      <c r="L20" s="16">
        <v>8.8379999999999992</v>
      </c>
      <c r="M20" s="16">
        <v>1.2869999999999999</v>
      </c>
      <c r="N20" s="16">
        <v>10.36</v>
      </c>
      <c r="O20" s="16">
        <v>1.516</v>
      </c>
      <c r="P20">
        <v>9.1150000000000002</v>
      </c>
      <c r="Q20">
        <v>1.708</v>
      </c>
      <c r="R20">
        <v>11.000999999999999</v>
      </c>
      <c r="S20">
        <v>2.028</v>
      </c>
      <c r="T20">
        <v>9.5820000000000007</v>
      </c>
      <c r="U20">
        <v>2.8959999999999999</v>
      </c>
      <c r="V20">
        <v>11.903</v>
      </c>
      <c r="W20">
        <v>3.472</v>
      </c>
    </row>
    <row r="21" spans="1:23" x14ac:dyDescent="0.2">
      <c r="A21" s="16" t="s">
        <v>27</v>
      </c>
      <c r="B21" s="16">
        <v>8.6329999999999991</v>
      </c>
      <c r="C21" s="16">
        <v>0.72499999999999998</v>
      </c>
      <c r="D21" s="16">
        <v>8.4039999999999999</v>
      </c>
      <c r="E21" s="16">
        <v>0.72599999999999998</v>
      </c>
      <c r="F21" s="16">
        <v>8.9809999999999999</v>
      </c>
      <c r="G21" s="16">
        <v>0.81200000000000006</v>
      </c>
      <c r="H21" s="16">
        <v>8.4499999999999993</v>
      </c>
      <c r="I21" s="16">
        <v>0.82899999999999996</v>
      </c>
      <c r="J21" s="16">
        <v>9.4250000000000007</v>
      </c>
      <c r="K21" s="16">
        <v>0.96399999999999997</v>
      </c>
      <c r="L21" s="16">
        <v>8.6910000000000007</v>
      </c>
      <c r="M21" s="16">
        <v>1.121</v>
      </c>
      <c r="N21" s="16">
        <v>10.212</v>
      </c>
      <c r="O21" s="16">
        <v>1.333</v>
      </c>
      <c r="P21">
        <v>8.9410000000000007</v>
      </c>
      <c r="Q21">
        <v>1.4870000000000001</v>
      </c>
      <c r="R21">
        <v>10.839</v>
      </c>
      <c r="S21">
        <v>1.784</v>
      </c>
      <c r="T21">
        <v>9.3569999999999993</v>
      </c>
      <c r="U21">
        <v>2.5230000000000001</v>
      </c>
      <c r="V21">
        <v>11.7</v>
      </c>
      <c r="W21">
        <v>3.0539999999999998</v>
      </c>
    </row>
    <row r="22" spans="1:23" x14ac:dyDescent="0.2">
      <c r="A22" s="16" t="s">
        <v>28</v>
      </c>
      <c r="B22" s="16">
        <v>8.9079999999999995</v>
      </c>
      <c r="C22" s="16">
        <v>0.72499999999999998</v>
      </c>
      <c r="D22" s="16">
        <v>8.6289999999999996</v>
      </c>
      <c r="E22" s="16">
        <v>0.71</v>
      </c>
      <c r="F22" s="16">
        <v>9.2360000000000007</v>
      </c>
      <c r="G22" s="16">
        <v>0.81499999999999995</v>
      </c>
      <c r="H22" s="16">
        <v>8.6300000000000008</v>
      </c>
      <c r="I22" s="16">
        <v>0.80700000000000005</v>
      </c>
      <c r="J22" s="16">
        <v>9.6549999999999994</v>
      </c>
      <c r="K22" s="16">
        <v>0.97</v>
      </c>
      <c r="L22" s="16">
        <v>8.8030000000000008</v>
      </c>
      <c r="M22" s="16">
        <v>1.0880000000000001</v>
      </c>
      <c r="N22" s="16">
        <v>10.374000000000001</v>
      </c>
      <c r="O22" s="16">
        <v>1.3440000000000001</v>
      </c>
      <c r="P22">
        <v>8.9960000000000004</v>
      </c>
      <c r="Q22">
        <v>1.444</v>
      </c>
      <c r="R22">
        <v>10.941000000000001</v>
      </c>
      <c r="S22">
        <v>1.8</v>
      </c>
      <c r="T22">
        <v>9.3279999999999994</v>
      </c>
      <c r="U22">
        <v>2.4510000000000001</v>
      </c>
      <c r="V22">
        <v>11.736000000000001</v>
      </c>
      <c r="W22">
        <v>3.0819999999999999</v>
      </c>
    </row>
    <row r="23" spans="1:23" x14ac:dyDescent="0.2">
      <c r="A23" s="16" t="s">
        <v>63</v>
      </c>
      <c r="B23" s="16">
        <v>8.9410000000000007</v>
      </c>
      <c r="C23" s="16">
        <v>0.65800000000000003</v>
      </c>
      <c r="D23" s="16">
        <v>8.6389999999999993</v>
      </c>
      <c r="E23" s="16">
        <v>0.626</v>
      </c>
      <c r="F23" s="16">
        <v>9.2409999999999997</v>
      </c>
      <c r="G23" s="16">
        <v>0.74</v>
      </c>
      <c r="H23" s="16">
        <v>8.6310000000000002</v>
      </c>
      <c r="I23" s="16">
        <v>0.70499999999999996</v>
      </c>
      <c r="J23" s="16">
        <v>9.6489999999999991</v>
      </c>
      <c r="K23" s="16">
        <v>0.88400000000000001</v>
      </c>
      <c r="L23" s="16">
        <v>8.8109999999999999</v>
      </c>
      <c r="M23" s="16">
        <v>0.94799999999999995</v>
      </c>
      <c r="N23" s="16">
        <v>10.346</v>
      </c>
      <c r="O23" s="16">
        <v>1.228</v>
      </c>
      <c r="P23">
        <v>9.01</v>
      </c>
      <c r="Q23">
        <v>1.2569999999999999</v>
      </c>
      <c r="R23">
        <v>10.898999999999999</v>
      </c>
      <c r="S23">
        <v>1.6459999999999999</v>
      </c>
      <c r="T23">
        <v>9.3469999999999995</v>
      </c>
      <c r="U23">
        <v>2.1339999999999999</v>
      </c>
      <c r="V23">
        <v>11.69</v>
      </c>
      <c r="W23">
        <v>2.823</v>
      </c>
    </row>
    <row r="24" spans="1:23" x14ac:dyDescent="0.2">
      <c r="A24" s="16" t="s">
        <v>64</v>
      </c>
      <c r="B24" s="16">
        <v>8.9689999999999994</v>
      </c>
      <c r="C24" s="16">
        <v>0.629</v>
      </c>
      <c r="D24" s="16">
        <v>8.6430000000000007</v>
      </c>
      <c r="E24" s="16">
        <v>0.58299999999999996</v>
      </c>
      <c r="F24" s="16">
        <v>9.2439999999999998</v>
      </c>
      <c r="G24" s="16">
        <v>0.70599999999999996</v>
      </c>
      <c r="H24" s="16">
        <v>8.6310000000000002</v>
      </c>
      <c r="I24" s="16">
        <v>0.65200000000000002</v>
      </c>
      <c r="J24" s="16">
        <v>9.641</v>
      </c>
      <c r="K24" s="16">
        <v>0.84599999999999997</v>
      </c>
      <c r="L24" s="16">
        <v>8.8170000000000002</v>
      </c>
      <c r="M24" s="16">
        <v>0.874</v>
      </c>
      <c r="N24" s="16">
        <v>10.32</v>
      </c>
      <c r="O24" s="16">
        <v>1.1779999999999999</v>
      </c>
      <c r="P24">
        <v>9.0210000000000008</v>
      </c>
      <c r="Q24">
        <v>1.157</v>
      </c>
      <c r="R24">
        <v>10.863</v>
      </c>
      <c r="S24">
        <v>1.581</v>
      </c>
      <c r="T24">
        <v>9.3620000000000001</v>
      </c>
      <c r="U24">
        <v>1.9650000000000001</v>
      </c>
      <c r="V24">
        <v>11.648</v>
      </c>
      <c r="W24">
        <v>2.7130000000000001</v>
      </c>
    </row>
    <row r="25" spans="1:23" x14ac:dyDescent="0.2">
      <c r="A25" s="16" t="s">
        <v>65</v>
      </c>
      <c r="B25" s="16">
        <v>8.9960000000000004</v>
      </c>
      <c r="C25" s="16">
        <v>0.61799999999999999</v>
      </c>
      <c r="D25" s="16">
        <v>8.6489999999999991</v>
      </c>
      <c r="E25" s="16">
        <v>0.55900000000000005</v>
      </c>
      <c r="F25" s="16">
        <v>9.2469999999999999</v>
      </c>
      <c r="G25" s="16">
        <v>0.69</v>
      </c>
      <c r="H25" s="16">
        <v>8.6310000000000002</v>
      </c>
      <c r="I25" s="16">
        <v>0.62</v>
      </c>
      <c r="J25" s="16">
        <v>9.6349999999999998</v>
      </c>
      <c r="K25" s="16">
        <v>0.82899999999999996</v>
      </c>
      <c r="L25" s="16">
        <v>8.8219999999999992</v>
      </c>
      <c r="M25" s="16">
        <v>0.82799999999999996</v>
      </c>
      <c r="N25" s="16">
        <v>10.298</v>
      </c>
      <c r="O25" s="16">
        <v>1.157</v>
      </c>
      <c r="P25">
        <v>9.0299999999999994</v>
      </c>
      <c r="Q25">
        <v>1.0960000000000001</v>
      </c>
      <c r="R25">
        <v>10.83</v>
      </c>
      <c r="S25">
        <v>1.554</v>
      </c>
      <c r="T25">
        <v>9.375</v>
      </c>
      <c r="U25">
        <v>1.861</v>
      </c>
      <c r="V25">
        <v>11.611000000000001</v>
      </c>
      <c r="W25">
        <v>2.67</v>
      </c>
    </row>
    <row r="26" spans="1:23" x14ac:dyDescent="0.2">
      <c r="A26" s="16" t="s">
        <v>66</v>
      </c>
      <c r="B26" s="16">
        <v>9.0210000000000008</v>
      </c>
      <c r="C26" s="16">
        <v>0.61599999999999999</v>
      </c>
      <c r="D26" s="16">
        <v>8.6549999999999994</v>
      </c>
      <c r="E26" s="16">
        <v>0.54500000000000004</v>
      </c>
      <c r="F26" s="16">
        <v>9.2479999999999993</v>
      </c>
      <c r="G26" s="16">
        <v>0.68500000000000005</v>
      </c>
      <c r="H26" s="16">
        <v>8.6300000000000008</v>
      </c>
      <c r="I26" s="16">
        <v>0.59899999999999998</v>
      </c>
      <c r="J26" s="16">
        <v>9.6280000000000001</v>
      </c>
      <c r="K26" s="16">
        <v>0.82499999999999996</v>
      </c>
      <c r="L26" s="16">
        <v>8.8260000000000005</v>
      </c>
      <c r="M26" s="16">
        <v>0.79900000000000004</v>
      </c>
      <c r="N26" s="16">
        <v>10.278</v>
      </c>
      <c r="O26" s="16">
        <v>1.1519999999999999</v>
      </c>
      <c r="P26">
        <v>9.0389999999999997</v>
      </c>
      <c r="Q26">
        <v>1.056</v>
      </c>
      <c r="R26">
        <v>10.802</v>
      </c>
      <c r="S26">
        <v>1.5489999999999999</v>
      </c>
      <c r="T26">
        <v>9.3870000000000005</v>
      </c>
      <c r="U26">
        <v>1.7929999999999999</v>
      </c>
      <c r="V26">
        <v>11.577</v>
      </c>
      <c r="W26">
        <v>2.6640000000000001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47"/>
  <sheetViews>
    <sheetView topLeftCell="A3" workbookViewId="0">
      <selection activeCell="B46" sqref="B46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35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32</v>
      </c>
      <c r="O1" s="3" t="s">
        <v>67</v>
      </c>
      <c r="P1" s="3" t="s">
        <v>30</v>
      </c>
      <c r="Q1" s="3" t="s">
        <v>68</v>
      </c>
      <c r="S1" s="10" t="s">
        <v>33</v>
      </c>
      <c r="T1" s="6">
        <v>0.97299999999999998</v>
      </c>
      <c r="U1" s="2"/>
    </row>
    <row r="2" spans="1:21" x14ac:dyDescent="0.2">
      <c r="A2" s="1" t="s">
        <v>12</v>
      </c>
      <c r="B2" s="6">
        <f>Book1!T4</f>
        <v>7.3360000000000003</v>
      </c>
      <c r="C2" s="6">
        <f>Book1!P4</f>
        <v>7.1669999999999998</v>
      </c>
      <c r="D2" s="6">
        <f>Book1!L4</f>
        <v>7.0739999999999998</v>
      </c>
      <c r="E2" s="6">
        <f>Book1!H4</f>
        <v>6.9710000000000001</v>
      </c>
      <c r="F2" s="6">
        <f>Book1!D4</f>
        <v>6.95</v>
      </c>
      <c r="G2" s="6">
        <f>Book1!B4</f>
        <v>7.0209999999999999</v>
      </c>
      <c r="H2" s="6">
        <f>Book1!F4</f>
        <v>7.2270000000000003</v>
      </c>
      <c r="I2" s="6">
        <f>Book1!J4</f>
        <v>7.4610000000000003</v>
      </c>
      <c r="J2" s="6">
        <f>Book1!N4</f>
        <v>7.8209999999999997</v>
      </c>
      <c r="K2" s="6">
        <f>Book1!R4</f>
        <v>8.0749999999999993</v>
      </c>
      <c r="L2" s="6">
        <f>Book1!V4</f>
        <v>8.4499999999999993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5">
        <f>Book1!AC4</f>
        <v>0.9758</v>
      </c>
      <c r="S2" s="6">
        <f>Q2*EXP(-(P2-O2)*N2)</f>
        <v>0.97617631850674225</v>
      </c>
      <c r="T2" s="1">
        <f>$T$1*EXP((P2-O2)*N2)</f>
        <v>0.97262490597229379</v>
      </c>
    </row>
    <row r="3" spans="1:21" x14ac:dyDescent="0.2">
      <c r="A3" s="1" t="s">
        <v>13</v>
      </c>
      <c r="B3" s="6">
        <f>Book1!T5</f>
        <v>7.3120000000000003</v>
      </c>
      <c r="C3" s="6">
        <f>Book1!P5</f>
        <v>7.1310000000000002</v>
      </c>
      <c r="D3" s="6">
        <f>Book1!L5</f>
        <v>7.0309999999999997</v>
      </c>
      <c r="E3" s="6">
        <f>Book1!H5</f>
        <v>6.9240000000000004</v>
      </c>
      <c r="F3" s="6">
        <f>Book1!D5</f>
        <v>6.9029999999999996</v>
      </c>
      <c r="G3" s="6">
        <f>Book1!B5</f>
        <v>6.9950000000000001</v>
      </c>
      <c r="H3" s="6">
        <f>Book1!F5</f>
        <v>7.2380000000000004</v>
      </c>
      <c r="I3" s="6">
        <f>Book1!J5</f>
        <v>7.5119999999999996</v>
      </c>
      <c r="J3" s="6">
        <f>Book1!N5</f>
        <v>7.9160000000000004</v>
      </c>
      <c r="K3" s="6">
        <f>Book1!R5</f>
        <v>8.1969999999999992</v>
      </c>
      <c r="L3" s="6">
        <f>Book1!V5</f>
        <v>8.6210000000000004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5">
        <f>Book1!AC5</f>
        <v>0.97540000000000004</v>
      </c>
      <c r="S3" s="6">
        <f t="shared" ref="S3:S11" si="0">Q3*EXP(-(P3-O3)*N3)</f>
        <v>0.97616448781891263</v>
      </c>
      <c r="T3" s="1">
        <f t="shared" ref="T3:T11" si="1">$T$1*EXP((P3-O3)*N3)</f>
        <v>0.97223799046463588</v>
      </c>
    </row>
    <row r="4" spans="1:21" x14ac:dyDescent="0.2">
      <c r="A4" s="1" t="s">
        <v>14</v>
      </c>
      <c r="B4" s="6">
        <f>Book1!T6</f>
        <v>7.5919999999999996</v>
      </c>
      <c r="C4" s="6">
        <f>Book1!P6</f>
        <v>7.4160000000000004</v>
      </c>
      <c r="D4" s="6">
        <f>Book1!L6</f>
        <v>7.32</v>
      </c>
      <c r="E4" s="6">
        <f>Book1!H6</f>
        <v>7.2190000000000003</v>
      </c>
      <c r="F4" s="6">
        <f>Book1!D6</f>
        <v>7.194</v>
      </c>
      <c r="G4" s="6">
        <f>Book1!B6</f>
        <v>7.2770000000000001</v>
      </c>
      <c r="H4" s="6">
        <f>Book1!F6</f>
        <v>7.5039999999999996</v>
      </c>
      <c r="I4" s="6">
        <f>Book1!J6</f>
        <v>7.7649999999999997</v>
      </c>
      <c r="J4" s="6">
        <f>Book1!N6</f>
        <v>8.14</v>
      </c>
      <c r="K4" s="6">
        <f>Book1!R6</f>
        <v>8.4049999999999994</v>
      </c>
      <c r="L4" s="6">
        <f>Book1!V6</f>
        <v>8.8059999999999992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5">
        <f>Book1!AC6</f>
        <v>0.97499999999999998</v>
      </c>
      <c r="S4" s="6">
        <f t="shared" si="0"/>
        <v>0.97615042817683784</v>
      </c>
      <c r="T4" s="1">
        <f t="shared" si="1"/>
        <v>0.97185328471539578</v>
      </c>
    </row>
    <row r="5" spans="1:21" x14ac:dyDescent="0.2">
      <c r="A5" s="1" t="s">
        <v>15</v>
      </c>
      <c r="B5" s="6">
        <f>Book1!T7</f>
        <v>8.0299999999999994</v>
      </c>
      <c r="C5" s="6">
        <f>Book1!P7</f>
        <v>7.798</v>
      </c>
      <c r="D5" s="6">
        <f>Book1!L7</f>
        <v>7.6630000000000003</v>
      </c>
      <c r="E5" s="6">
        <f>Book1!H7</f>
        <v>7.5170000000000003</v>
      </c>
      <c r="F5" s="6">
        <f>Book1!D7</f>
        <v>7.4720000000000004</v>
      </c>
      <c r="G5" s="6">
        <f>Book1!B7</f>
        <v>7.5439999999999996</v>
      </c>
      <c r="H5" s="6">
        <f>Book1!F7</f>
        <v>7.7770000000000001</v>
      </c>
      <c r="I5" s="6">
        <f>Book1!J7</f>
        <v>8.0519999999999996</v>
      </c>
      <c r="J5" s="6">
        <f>Book1!N7</f>
        <v>8.4860000000000007</v>
      </c>
      <c r="K5" s="6">
        <f>Book1!R7</f>
        <v>8.7919999999999998</v>
      </c>
      <c r="L5" s="6">
        <f>Book1!V7</f>
        <v>9.2520000000000007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5">
        <f>Book1!AC7</f>
        <v>0.97430000000000005</v>
      </c>
      <c r="S5" s="6">
        <f t="shared" si="0"/>
        <v>0.97600001107909951</v>
      </c>
      <c r="T5" s="1">
        <f t="shared" si="1"/>
        <v>0.9713052143840295</v>
      </c>
    </row>
    <row r="6" spans="1:21" x14ac:dyDescent="0.2">
      <c r="A6" s="1" t="s">
        <v>16</v>
      </c>
      <c r="B6" s="6">
        <f>Book1!T8</f>
        <v>7.7430000000000003</v>
      </c>
      <c r="C6" s="6">
        <f>Book1!P8</f>
        <v>7.4720000000000004</v>
      </c>
      <c r="D6" s="6">
        <f>Book1!L8</f>
        <v>7.3129999999999997</v>
      </c>
      <c r="E6" s="6">
        <f>Book1!H8</f>
        <v>7.1390000000000002</v>
      </c>
      <c r="F6" s="6">
        <f>Book1!D8</f>
        <v>7.077</v>
      </c>
      <c r="G6" s="6">
        <f>Book1!B8</f>
        <v>7.1520000000000001</v>
      </c>
      <c r="H6" s="6">
        <f>Book1!F8</f>
        <v>7.4029999999999996</v>
      </c>
      <c r="I6" s="6">
        <f>Book1!J8</f>
        <v>7.7119999999999997</v>
      </c>
      <c r="J6" s="6">
        <f>Book1!N8</f>
        <v>8.1880000000000006</v>
      </c>
      <c r="K6" s="6">
        <f>Book1!R8</f>
        <v>8.5250000000000004</v>
      </c>
      <c r="L6" s="6">
        <f>Book1!V8</f>
        <v>9.0380000000000003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5">
        <f>Book1!AC8</f>
        <v>0.97230000000000005</v>
      </c>
      <c r="S6" s="6">
        <f t="shared" si="0"/>
        <v>0.97599688890981695</v>
      </c>
      <c r="T6" s="1">
        <f t="shared" si="1"/>
        <v>0.96931446273023492</v>
      </c>
    </row>
    <row r="7" spans="1:21" x14ac:dyDescent="0.2">
      <c r="A7" s="1" t="s">
        <v>17</v>
      </c>
      <c r="B7" s="6">
        <f>Book1!T9</f>
        <v>7.968</v>
      </c>
      <c r="C7" s="6">
        <f>Book1!P9</f>
        <v>7.625</v>
      </c>
      <c r="D7" s="6">
        <f>Book1!L9</f>
        <v>7.4130000000000003</v>
      </c>
      <c r="E7" s="6">
        <f>Book1!H9</f>
        <v>7.1779999999999999</v>
      </c>
      <c r="F7" s="6">
        <f>Book1!D9</f>
        <v>7.101</v>
      </c>
      <c r="G7" s="6">
        <f>Book1!B9</f>
        <v>7.1790000000000003</v>
      </c>
      <c r="H7" s="6">
        <f>Book1!F9</f>
        <v>7.4580000000000002</v>
      </c>
      <c r="I7" s="6">
        <f>Book1!J9</f>
        <v>7.806</v>
      </c>
      <c r="J7" s="6">
        <f>Book1!N9</f>
        <v>8.3559999999999999</v>
      </c>
      <c r="K7" s="6">
        <f>Book1!R9</f>
        <v>8.7449999999999992</v>
      </c>
      <c r="L7" s="6">
        <f>Book1!V9</f>
        <v>9.343</v>
      </c>
      <c r="N7" s="1">
        <f>3/12</f>
        <v>0.25</v>
      </c>
      <c r="O7" s="9">
        <f>Book1!AA9</f>
        <v>1.023E-2</v>
      </c>
      <c r="P7" s="9">
        <f>Book1!AB9</f>
        <v>-1.247E-2</v>
      </c>
      <c r="Q7" s="5">
        <f>Book1!AC9</f>
        <v>0.97030000000000005</v>
      </c>
      <c r="S7" s="6">
        <f t="shared" si="0"/>
        <v>0.97582210665740698</v>
      </c>
      <c r="T7" s="1">
        <f t="shared" si="1"/>
        <v>0.96749386343986221</v>
      </c>
    </row>
    <row r="8" spans="1:21" x14ac:dyDescent="0.2">
      <c r="A8" s="1" t="s">
        <v>18</v>
      </c>
      <c r="B8" s="6">
        <f>Book1!T10</f>
        <v>8.1750000000000007</v>
      </c>
      <c r="C8" s="6">
        <f>Book1!P10</f>
        <v>7.8120000000000003</v>
      </c>
      <c r="D8" s="6">
        <f>Book1!L10</f>
        <v>7.5919999999999996</v>
      </c>
      <c r="E8" s="6">
        <f>Book1!H10</f>
        <v>7.3449999999999998</v>
      </c>
      <c r="F8" s="6">
        <f>Book1!D10</f>
        <v>7.2560000000000002</v>
      </c>
      <c r="G8" s="6">
        <f>Book1!B10</f>
        <v>7.3339999999999996</v>
      </c>
      <c r="H8" s="6">
        <f>Book1!F10</f>
        <v>7.6210000000000004</v>
      </c>
      <c r="I8" s="6">
        <f>Book1!J10</f>
        <v>7.9779999999999998</v>
      </c>
      <c r="J8" s="6">
        <f>Book1!N10</f>
        <v>8.5470000000000006</v>
      </c>
      <c r="K8" s="6">
        <f>Book1!R10</f>
        <v>8.952</v>
      </c>
      <c r="L8" s="6">
        <f>Book1!V10</f>
        <v>9.5739999999999998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5">
        <f>Book1!AC10</f>
        <v>0.96860000000000002</v>
      </c>
      <c r="S8" s="6">
        <f t="shared" si="0"/>
        <v>0.97592108730103444</v>
      </c>
      <c r="T8" s="1">
        <f t="shared" si="1"/>
        <v>0.96570082587967565</v>
      </c>
    </row>
    <row r="9" spans="1:21" x14ac:dyDescent="0.2">
      <c r="A9" s="1" t="s">
        <v>19</v>
      </c>
      <c r="B9" s="6">
        <f>Book1!T11</f>
        <v>8.3940000000000001</v>
      </c>
      <c r="C9" s="6">
        <f>Book1!P11</f>
        <v>7.9870000000000001</v>
      </c>
      <c r="D9" s="6">
        <f>Book1!L11</f>
        <v>7.734</v>
      </c>
      <c r="E9" s="6">
        <f>Book1!H11</f>
        <v>7.4580000000000002</v>
      </c>
      <c r="F9" s="6">
        <f>Book1!D11</f>
        <v>7.3609999999999998</v>
      </c>
      <c r="G9" s="6">
        <f>Book1!B11</f>
        <v>7.4359999999999999</v>
      </c>
      <c r="H9" s="6">
        <f>Book1!F11</f>
        <v>7.734</v>
      </c>
      <c r="I9" s="6">
        <f>Book1!J11</f>
        <v>8.1110000000000007</v>
      </c>
      <c r="J9" s="6">
        <f>Book1!N11</f>
        <v>8.7309999999999999</v>
      </c>
      <c r="K9" s="6">
        <f>Book1!R11</f>
        <v>9.1999999999999993</v>
      </c>
      <c r="L9" s="6">
        <f>Book1!V11</f>
        <v>9.86</v>
      </c>
      <c r="N9" s="1">
        <f>6/12</f>
        <v>0.5</v>
      </c>
      <c r="O9" s="9">
        <f>Book1!AA11</f>
        <v>1.116E-2</v>
      </c>
      <c r="P9" s="9">
        <f>Book1!AB11</f>
        <v>-1.2200000000000001E-2</v>
      </c>
      <c r="Q9" s="5">
        <f>Book1!AC11</f>
        <v>0.96450000000000002</v>
      </c>
      <c r="S9" s="6">
        <f t="shared" si="0"/>
        <v>0.97583140659332424</v>
      </c>
      <c r="T9" s="1">
        <f t="shared" si="1"/>
        <v>0.96170147185178745</v>
      </c>
    </row>
    <row r="10" spans="1:21" x14ac:dyDescent="0.2">
      <c r="A10" s="1" t="s">
        <v>20</v>
      </c>
      <c r="B10" s="6">
        <f>Book1!T12</f>
        <v>8.5289999999999999</v>
      </c>
      <c r="C10" s="6">
        <f>Book1!P12</f>
        <v>8.0939999999999994</v>
      </c>
      <c r="D10" s="6">
        <f>Book1!L12</f>
        <v>7.827</v>
      </c>
      <c r="E10" s="6">
        <f>Book1!H12</f>
        <v>7.5259999999999998</v>
      </c>
      <c r="F10" s="6">
        <f>Book1!D12</f>
        <v>7.4219999999999997</v>
      </c>
      <c r="G10" s="6">
        <f>Book1!B12</f>
        <v>7.4989999999999997</v>
      </c>
      <c r="H10" s="6">
        <f>Book1!F12</f>
        <v>7.8049999999999997</v>
      </c>
      <c r="I10" s="6">
        <f>Book1!J12</f>
        <v>8.2010000000000005</v>
      </c>
      <c r="J10" s="6">
        <f>Book1!N12</f>
        <v>8.8550000000000004</v>
      </c>
      <c r="K10" s="6">
        <f>Book1!R12</f>
        <v>9.3239999999999998</v>
      </c>
      <c r="L10" s="6">
        <f>Book1!V12</f>
        <v>10.035</v>
      </c>
      <c r="N10" s="1">
        <f>9/12</f>
        <v>0.75</v>
      </c>
      <c r="O10" s="9">
        <f>Book1!AA12</f>
        <v>1.166E-2</v>
      </c>
      <c r="P10" s="9">
        <f>Book1!AB12</f>
        <v>-1.242E-2</v>
      </c>
      <c r="Q10" s="5">
        <f>Book1!AC12</f>
        <v>0.95820000000000005</v>
      </c>
      <c r="S10" s="6">
        <f t="shared" si="0"/>
        <v>0.97566230195866099</v>
      </c>
      <c r="T10" s="1">
        <f t="shared" si="1"/>
        <v>0.95558534764367997</v>
      </c>
    </row>
    <row r="11" spans="1:21" x14ac:dyDescent="0.2">
      <c r="A11" s="1" t="s">
        <v>21</v>
      </c>
      <c r="B11" s="6">
        <f>Book1!T13</f>
        <v>8.9120000000000008</v>
      </c>
      <c r="C11" s="6">
        <f>Book1!P13</f>
        <v>8.4109999999999996</v>
      </c>
      <c r="D11" s="6">
        <f>Book1!L13</f>
        <v>8.11</v>
      </c>
      <c r="E11" s="6">
        <f>Book1!H13</f>
        <v>7.7690000000000001</v>
      </c>
      <c r="F11" s="6">
        <f>Book1!D13</f>
        <v>7.6459999999999999</v>
      </c>
      <c r="G11" s="6">
        <f>Book1!B13</f>
        <v>7.726</v>
      </c>
      <c r="H11" s="6">
        <f>Book1!F13</f>
        <v>8.0559999999999992</v>
      </c>
      <c r="I11" s="6">
        <f>Book1!J13</f>
        <v>8.4969999999999999</v>
      </c>
      <c r="J11" s="6">
        <f>Book1!N13</f>
        <v>9.2319999999999993</v>
      </c>
      <c r="K11" s="6">
        <f>Book1!R13</f>
        <v>9.7710000000000008</v>
      </c>
      <c r="L11" s="6">
        <f>Book1!V13</f>
        <v>10.571</v>
      </c>
      <c r="N11" s="1">
        <v>1</v>
      </c>
      <c r="O11" s="9">
        <f>Book1!AA13</f>
        <v>1.197E-2</v>
      </c>
      <c r="P11" s="9">
        <f>Book1!AB13</f>
        <v>-1.2370000000000001E-2</v>
      </c>
      <c r="Q11" s="5">
        <f>Book1!AC13</f>
        <v>0.95209999999999995</v>
      </c>
      <c r="S11" s="6">
        <f t="shared" si="0"/>
        <v>0.97555844515412504</v>
      </c>
      <c r="T11" s="1">
        <f t="shared" si="1"/>
        <v>0.94960307565544411</v>
      </c>
    </row>
    <row r="12" spans="1:21" x14ac:dyDescent="0.2"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-1</v>
      </c>
      <c r="I12" s="1">
        <v>-1</v>
      </c>
      <c r="J12" s="1">
        <v>-1</v>
      </c>
      <c r="K12" s="1">
        <v>-1</v>
      </c>
      <c r="L12" s="1">
        <v>-1</v>
      </c>
    </row>
    <row r="13" spans="1:21" x14ac:dyDescent="0.2">
      <c r="A13" s="7" t="s">
        <v>34</v>
      </c>
      <c r="B13" s="1">
        <v>0.05</v>
      </c>
      <c r="C13" s="1">
        <v>0.1</v>
      </c>
      <c r="D13" s="1">
        <v>0.15</v>
      </c>
      <c r="E13" s="1">
        <v>0.25</v>
      </c>
      <c r="F13" s="1">
        <v>0.35</v>
      </c>
      <c r="G13" s="1">
        <v>0.5</v>
      </c>
      <c r="H13" s="1">
        <v>-0.35</v>
      </c>
      <c r="I13" s="1">
        <v>-0.25</v>
      </c>
      <c r="J13" s="1">
        <v>-0.15</v>
      </c>
      <c r="K13" s="1">
        <v>-0.1</v>
      </c>
      <c r="L13" s="1">
        <v>-0.05</v>
      </c>
      <c r="O13" s="1" t="s">
        <v>70</v>
      </c>
      <c r="P13" s="1" t="s">
        <v>69</v>
      </c>
    </row>
    <row r="14" spans="1:21" x14ac:dyDescent="0.2">
      <c r="A14" s="1" t="s">
        <v>12</v>
      </c>
      <c r="B14" s="5">
        <f>strike(B$13,$T2,B2/100,$N2,$O2,B$12)</f>
        <v>0.98908903255065617</v>
      </c>
      <c r="C14" s="5">
        <f t="shared" ref="C14:L14" si="2">strike(C$13,$T2,C2/100,$N2,$O2,C$12)</f>
        <v>0.9851420090933819</v>
      </c>
      <c r="D14" s="5">
        <f t="shared" si="2"/>
        <v>0.98261242040622043</v>
      </c>
      <c r="E14" s="5">
        <f t="shared" si="2"/>
        <v>0.97903420719820156</v>
      </c>
      <c r="F14" s="5">
        <f t="shared" si="2"/>
        <v>0.9762901962024455</v>
      </c>
      <c r="G14" s="5">
        <f t="shared" si="2"/>
        <v>0.97267262168030033</v>
      </c>
      <c r="H14" s="5">
        <f t="shared" si="2"/>
        <v>0.96892357526984352</v>
      </c>
      <c r="I14" s="5">
        <f t="shared" si="2"/>
        <v>0.96591156777051423</v>
      </c>
      <c r="J14" s="5">
        <f t="shared" si="2"/>
        <v>0.96180857856298063</v>
      </c>
      <c r="K14" s="5">
        <f t="shared" si="2"/>
        <v>0.95882589311641819</v>
      </c>
      <c r="L14" s="5">
        <f t="shared" si="2"/>
        <v>0.95412236253652383</v>
      </c>
    </row>
    <row r="15" spans="1:21" x14ac:dyDescent="0.2">
      <c r="A15" s="1" t="s">
        <v>13</v>
      </c>
      <c r="B15" s="5">
        <f t="shared" ref="B15:L23" si="3">strike(B$13,$T3,B3/100,$N3,$O3,B$12)</f>
        <v>0.99554688619604126</v>
      </c>
      <c r="C15" s="5">
        <f t="shared" si="3"/>
        <v>0.9899186352611139</v>
      </c>
      <c r="D15" s="5">
        <f t="shared" si="3"/>
        <v>0.98632802626082372</v>
      </c>
      <c r="E15" s="5">
        <f t="shared" si="3"/>
        <v>0.98127639379382336</v>
      </c>
      <c r="F15" s="5">
        <f t="shared" si="3"/>
        <v>0.97741522312006324</v>
      </c>
      <c r="G15" s="5">
        <f t="shared" si="3"/>
        <v>0.97233323329132582</v>
      </c>
      <c r="H15" s="5">
        <f t="shared" si="3"/>
        <v>0.96702928117007625</v>
      </c>
      <c r="I15" s="5">
        <f t="shared" si="3"/>
        <v>0.96272691031617674</v>
      </c>
      <c r="J15" s="5">
        <f t="shared" si="3"/>
        <v>0.95683285200823165</v>
      </c>
      <c r="K15" s="5">
        <f t="shared" si="3"/>
        <v>0.95253420320723525</v>
      </c>
      <c r="L15" s="5">
        <f t="shared" si="3"/>
        <v>0.945706136309856</v>
      </c>
    </row>
    <row r="16" spans="1:21" x14ac:dyDescent="0.2">
      <c r="A16" s="1" t="s">
        <v>14</v>
      </c>
      <c r="B16" s="5">
        <f t="shared" si="3"/>
        <v>1.001615325936245</v>
      </c>
      <c r="C16" s="5">
        <f t="shared" si="3"/>
        <v>0.99445565068298614</v>
      </c>
      <c r="D16" s="5">
        <f t="shared" si="3"/>
        <v>0.98988295390007808</v>
      </c>
      <c r="E16" s="5">
        <f t="shared" si="3"/>
        <v>0.9834394623118996</v>
      </c>
      <c r="F16" s="5">
        <f t="shared" si="3"/>
        <v>0.97849821684960114</v>
      </c>
      <c r="G16" s="5">
        <f t="shared" si="3"/>
        <v>0.97201049533860739</v>
      </c>
      <c r="H16" s="5">
        <f t="shared" si="3"/>
        <v>0.96527715116369761</v>
      </c>
      <c r="I16" s="5">
        <f t="shared" si="3"/>
        <v>0.95986523501890053</v>
      </c>
      <c r="J16" s="5">
        <f t="shared" si="3"/>
        <v>0.9525349869872215</v>
      </c>
      <c r="K16" s="5">
        <f t="shared" si="3"/>
        <v>0.94722034510625608</v>
      </c>
      <c r="L16" s="5">
        <f t="shared" si="3"/>
        <v>0.93882912818835584</v>
      </c>
    </row>
    <row r="17" spans="1:17" x14ac:dyDescent="0.2">
      <c r="A17" s="1" t="s">
        <v>15</v>
      </c>
      <c r="B17" s="5">
        <f t="shared" si="3"/>
        <v>1.0093342700575763</v>
      </c>
      <c r="C17" s="5">
        <f t="shared" si="3"/>
        <v>0.99999696885053391</v>
      </c>
      <c r="D17" s="5">
        <f t="shared" si="3"/>
        <v>0.9940851112360527</v>
      </c>
      <c r="E17" s="5">
        <f t="shared" si="3"/>
        <v>0.98587024790195121</v>
      </c>
      <c r="F17" s="5">
        <f t="shared" si="3"/>
        <v>0.9796539405202459</v>
      </c>
      <c r="G17" s="5">
        <f t="shared" si="3"/>
        <v>0.97155472231840845</v>
      </c>
      <c r="H17" s="5">
        <f t="shared" si="3"/>
        <v>0.9631670700484628</v>
      </c>
      <c r="I17" s="5">
        <f t="shared" si="3"/>
        <v>0.95644162932464094</v>
      </c>
      <c r="J17" s="5">
        <f t="shared" si="3"/>
        <v>0.9472281045815949</v>
      </c>
      <c r="K17" s="5">
        <f t="shared" si="3"/>
        <v>0.94051368122476009</v>
      </c>
      <c r="L17" s="5">
        <f t="shared" si="3"/>
        <v>0.92988129751020909</v>
      </c>
    </row>
    <row r="18" spans="1:17" x14ac:dyDescent="0.2">
      <c r="A18" s="1" t="s">
        <v>16</v>
      </c>
      <c r="B18" s="5">
        <f t="shared" si="3"/>
        <v>1.0215835521932415</v>
      </c>
      <c r="C18" s="5">
        <f t="shared" si="3"/>
        <v>1.0084564852708793</v>
      </c>
      <c r="D18" s="5">
        <f t="shared" si="3"/>
        <v>1.0002544922725198</v>
      </c>
      <c r="E18" s="5">
        <f t="shared" si="3"/>
        <v>0.98901546518865446</v>
      </c>
      <c r="F18" s="5">
        <f t="shared" si="3"/>
        <v>0.98061957520966903</v>
      </c>
      <c r="G18" s="5">
        <f t="shared" si="3"/>
        <v>0.96978694465119786</v>
      </c>
      <c r="H18" s="5">
        <f t="shared" si="3"/>
        <v>0.9584838607868883</v>
      </c>
      <c r="I18" s="5">
        <f t="shared" si="3"/>
        <v>0.94937858578737233</v>
      </c>
      <c r="J18" s="5">
        <f t="shared" si="3"/>
        <v>0.93679701954919936</v>
      </c>
      <c r="K18" s="5">
        <f t="shared" si="3"/>
        <v>0.92756191701531299</v>
      </c>
      <c r="L18" s="5">
        <f t="shared" si="3"/>
        <v>0.91282936836489825</v>
      </c>
    </row>
    <row r="19" spans="1:17" x14ac:dyDescent="0.2">
      <c r="A19" s="1" t="s">
        <v>17</v>
      </c>
      <c r="B19" s="5">
        <f t="shared" si="3"/>
        <v>1.033889359781049</v>
      </c>
      <c r="C19" s="5">
        <f t="shared" si="3"/>
        <v>1.0167337201821478</v>
      </c>
      <c r="D19" s="5">
        <f t="shared" si="3"/>
        <v>1.0061358198805543</v>
      </c>
      <c r="E19" s="5">
        <f t="shared" si="3"/>
        <v>0.99191035347379375</v>
      </c>
      <c r="F19" s="5">
        <f t="shared" si="3"/>
        <v>0.98152346564058313</v>
      </c>
      <c r="G19" s="5">
        <f t="shared" si="3"/>
        <v>0.96822860052502679</v>
      </c>
      <c r="H19" s="5">
        <f t="shared" si="3"/>
        <v>0.95426910302592938</v>
      </c>
      <c r="I19" s="5">
        <f t="shared" si="3"/>
        <v>0.94300061552198911</v>
      </c>
      <c r="J19" s="5">
        <f t="shared" si="3"/>
        <v>0.92723864130280687</v>
      </c>
      <c r="K19" s="5">
        <f t="shared" si="3"/>
        <v>0.91558708295977342</v>
      </c>
      <c r="L19" s="5">
        <f t="shared" si="3"/>
        <v>0.89686287974953516</v>
      </c>
    </row>
    <row r="20" spans="1:17" x14ac:dyDescent="0.2">
      <c r="A20" s="1" t="s">
        <v>18</v>
      </c>
      <c r="B20" s="5">
        <f t="shared" si="3"/>
        <v>1.0449074132770426</v>
      </c>
      <c r="C20" s="5">
        <f t="shared" si="3"/>
        <v>1.0242989501657451</v>
      </c>
      <c r="D20" s="5">
        <f t="shared" si="3"/>
        <v>1.011656299730348</v>
      </c>
      <c r="E20" s="5">
        <f t="shared" si="3"/>
        <v>0.99473287644906427</v>
      </c>
      <c r="F20" s="5">
        <f t="shared" si="3"/>
        <v>0.98241516661036976</v>
      </c>
      <c r="G20" s="5">
        <f t="shared" si="3"/>
        <v>0.96674871637942439</v>
      </c>
      <c r="H20" s="5">
        <f t="shared" si="3"/>
        <v>0.95024571375793465</v>
      </c>
      <c r="I20" s="5">
        <f t="shared" si="3"/>
        <v>0.9370331689666016</v>
      </c>
      <c r="J20" s="5">
        <f t="shared" si="3"/>
        <v>0.91856713640193122</v>
      </c>
      <c r="K20" s="5">
        <f t="shared" si="3"/>
        <v>0.90492222799631616</v>
      </c>
      <c r="L20" s="5">
        <f t="shared" si="3"/>
        <v>0.88303650839629488</v>
      </c>
    </row>
    <row r="21" spans="1:17" x14ac:dyDescent="0.2">
      <c r="A21" s="1" t="s">
        <v>19</v>
      </c>
      <c r="B21" s="5">
        <f t="shared" si="3"/>
        <v>1.0623679094612759</v>
      </c>
      <c r="C21" s="5">
        <f t="shared" si="3"/>
        <v>1.0357240422359519</v>
      </c>
      <c r="D21" s="5">
        <f t="shared" si="3"/>
        <v>1.0195082504306312</v>
      </c>
      <c r="E21" s="5">
        <f t="shared" si="3"/>
        <v>0.99814218485186068</v>
      </c>
      <c r="F21" s="5">
        <f t="shared" si="3"/>
        <v>0.98278328165486051</v>
      </c>
      <c r="G21" s="5">
        <f t="shared" si="3"/>
        <v>0.96338500999888288</v>
      </c>
      <c r="H21" s="5">
        <f t="shared" si="3"/>
        <v>0.94278602079920748</v>
      </c>
      <c r="I21" s="5">
        <f t="shared" si="3"/>
        <v>0.92649907124544895</v>
      </c>
      <c r="J21" s="5">
        <f t="shared" si="3"/>
        <v>0.90361340600836793</v>
      </c>
      <c r="K21" s="5">
        <f t="shared" si="3"/>
        <v>0.88646670594063948</v>
      </c>
      <c r="L21" s="5">
        <f t="shared" si="3"/>
        <v>0.85942681986700553</v>
      </c>
    </row>
    <row r="22" spans="1:17" x14ac:dyDescent="0.2">
      <c r="A22" s="1" t="s">
        <v>20</v>
      </c>
      <c r="B22" s="5">
        <f t="shared" si="3"/>
        <v>1.0823167649752174</v>
      </c>
      <c r="C22" s="5">
        <f t="shared" si="3"/>
        <v>1.0483381235355151</v>
      </c>
      <c r="D22" s="5">
        <f t="shared" si="3"/>
        <v>1.0278819491229589</v>
      </c>
      <c r="E22" s="5">
        <f t="shared" si="3"/>
        <v>1.0011021929670654</v>
      </c>
      <c r="F22" s="5">
        <f t="shared" si="3"/>
        <v>0.98209347869570862</v>
      </c>
      <c r="G22" s="5">
        <f t="shared" si="3"/>
        <v>0.95828152148823276</v>
      </c>
      <c r="H22" s="5">
        <f t="shared" si="3"/>
        <v>0.93262802001570644</v>
      </c>
      <c r="I22" s="5">
        <f t="shared" si="3"/>
        <v>0.91274309848513013</v>
      </c>
      <c r="J22" s="5">
        <f t="shared" si="3"/>
        <v>0.88479252636126493</v>
      </c>
      <c r="K22" s="5">
        <f t="shared" si="3"/>
        <v>0.86410935977005454</v>
      </c>
      <c r="L22" s="5">
        <f t="shared" si="3"/>
        <v>0.83112914306682717</v>
      </c>
    </row>
    <row r="23" spans="1:17" x14ac:dyDescent="0.2">
      <c r="A23" s="1" t="s">
        <v>21</v>
      </c>
      <c r="B23" s="5">
        <f t="shared" si="3"/>
        <v>1.1044703366823299</v>
      </c>
      <c r="C23" s="5">
        <f t="shared" si="3"/>
        <v>1.0620384280051938</v>
      </c>
      <c r="D23" s="5">
        <f t="shared" si="3"/>
        <v>1.0369206907105279</v>
      </c>
      <c r="E23" s="5">
        <f t="shared" si="3"/>
        <v>1.004447200813084</v>
      </c>
      <c r="F23" s="5">
        <f t="shared" si="3"/>
        <v>0.98170445740804668</v>
      </c>
      <c r="G23" s="5">
        <f t="shared" si="3"/>
        <v>0.9535394870653181</v>
      </c>
      <c r="H23" s="5">
        <f t="shared" si="3"/>
        <v>0.92273295613946327</v>
      </c>
      <c r="I23" s="5">
        <f t="shared" si="3"/>
        <v>0.89923527994275188</v>
      </c>
      <c r="J23" s="5">
        <f t="shared" si="3"/>
        <v>0.86602391299459269</v>
      </c>
      <c r="K23" s="5">
        <f t="shared" si="3"/>
        <v>0.84128621993872055</v>
      </c>
      <c r="L23" s="5">
        <f t="shared" si="3"/>
        <v>0.80202614757932023</v>
      </c>
    </row>
    <row r="24" spans="1:17" x14ac:dyDescent="0.2">
      <c r="Q24" s="6"/>
    </row>
    <row r="25" spans="1:17" x14ac:dyDescent="0.2">
      <c r="A25" s="7" t="s">
        <v>36</v>
      </c>
      <c r="B25" s="1">
        <v>-1</v>
      </c>
      <c r="C25" s="1">
        <v>-1</v>
      </c>
      <c r="D25" s="1">
        <v>-1</v>
      </c>
      <c r="E25" s="1">
        <v>-1</v>
      </c>
      <c r="F25" s="1">
        <v>-1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Q25" s="6"/>
    </row>
    <row r="26" spans="1:17" x14ac:dyDescent="0.2">
      <c r="A26" s="1" t="s">
        <v>12</v>
      </c>
      <c r="B26" s="5">
        <f>_xludf.price($T$1,B14,$T2,$N2,B2/100,$P2,$O2,B$25)</f>
        <v>1.6674201342592898E-2</v>
      </c>
      <c r="C26" s="5">
        <f t="shared" ref="C26:L26" si="4">_xludf.price($T$1,C14,$T2,$N2,C2/100,$P2,$O2,C$25)</f>
        <v>1.2976040321629578E-2</v>
      </c>
      <c r="D26" s="5">
        <f t="shared" si="4"/>
        <v>1.0728130367056332E-2</v>
      </c>
      <c r="E26" s="5">
        <f t="shared" si="4"/>
        <v>7.8066459781037656E-3</v>
      </c>
      <c r="F26" s="5">
        <f t="shared" si="4"/>
        <v>5.8626179954556212E-3</v>
      </c>
      <c r="G26" s="5">
        <f t="shared" si="4"/>
        <v>3.7551250360313704E-3</v>
      </c>
      <c r="H26" s="5">
        <f t="shared" si="4"/>
        <v>6.0110539398011698E-3</v>
      </c>
      <c r="I26" s="5">
        <f t="shared" si="4"/>
        <v>8.2239172447332587E-3</v>
      </c>
      <c r="J26" s="5">
        <f t="shared" si="4"/>
        <v>1.1642667308806587E-2</v>
      </c>
      <c r="K26" s="5">
        <f t="shared" si="4"/>
        <v>1.4320547042005805E-2</v>
      </c>
      <c r="L26" s="5">
        <f t="shared" si="4"/>
        <v>1.874635516021872E-2</v>
      </c>
      <c r="Q26" s="6"/>
    </row>
    <row r="27" spans="1:17" x14ac:dyDescent="0.2">
      <c r="A27" s="1" t="s">
        <v>13</v>
      </c>
      <c r="B27" s="5">
        <f t="shared" ref="B27:L35" si="5">_xludf.price($T$1,B15,$T3,$N3,B3/100,$P3,$O3,B$25)</f>
        <v>2.3611744365432008E-2</v>
      </c>
      <c r="C27" s="5">
        <f t="shared" si="5"/>
        <v>1.8330708743380386E-2</v>
      </c>
      <c r="D27" s="5">
        <f t="shared" si="5"/>
        <v>1.5133387688960886E-2</v>
      </c>
      <c r="E27" s="5">
        <f t="shared" si="5"/>
        <v>1.0999806302746884E-2</v>
      </c>
      <c r="F27" s="5">
        <f t="shared" si="5"/>
        <v>8.258078670858926E-3</v>
      </c>
      <c r="G27" s="5">
        <f t="shared" si="5"/>
        <v>5.2765639638343576E-3</v>
      </c>
      <c r="H27" s="5">
        <f t="shared" si="5"/>
        <v>8.4885814845447882E-3</v>
      </c>
      <c r="I27" s="5">
        <f t="shared" si="5"/>
        <v>1.1669198287936999E-2</v>
      </c>
      <c r="J27" s="5">
        <f t="shared" si="5"/>
        <v>1.6594946321786597E-2</v>
      </c>
      <c r="K27" s="5">
        <f t="shared" si="5"/>
        <v>2.045992992118939E-2</v>
      </c>
      <c r="L27" s="5">
        <f t="shared" si="5"/>
        <v>2.6892407875605095E-2</v>
      </c>
    </row>
    <row r="28" spans="1:17" x14ac:dyDescent="0.2">
      <c r="A28" s="1" t="s">
        <v>14</v>
      </c>
      <c r="B28" s="5">
        <f t="shared" si="5"/>
        <v>3.0152785633516088E-2</v>
      </c>
      <c r="C28" s="5">
        <f t="shared" si="5"/>
        <v>2.3433513275582407E-2</v>
      </c>
      <c r="D28" s="5">
        <f t="shared" si="5"/>
        <v>1.9361075853250642E-2</v>
      </c>
      <c r="E28" s="5">
        <f t="shared" si="5"/>
        <v>1.4087451317664423E-2</v>
      </c>
      <c r="F28" s="5">
        <f t="shared" si="5"/>
        <v>1.0568878162298456E-2</v>
      </c>
      <c r="G28" s="5">
        <f t="shared" si="5"/>
        <v>6.7040565177738376E-3</v>
      </c>
      <c r="H28" s="5">
        <f t="shared" si="5"/>
        <v>1.0749091725985149E-2</v>
      </c>
      <c r="I28" s="5">
        <f t="shared" si="5"/>
        <v>1.4726906742507428E-2</v>
      </c>
      <c r="J28" s="5">
        <f t="shared" si="5"/>
        <v>2.0822824573534127E-2</v>
      </c>
      <c r="K28" s="5">
        <f t="shared" si="5"/>
        <v>2.55888502161572E-2</v>
      </c>
      <c r="L28" s="5">
        <f t="shared" si="5"/>
        <v>3.3482569218436176E-2</v>
      </c>
    </row>
    <row r="29" spans="1:17" x14ac:dyDescent="0.2">
      <c r="A29" s="1" t="s">
        <v>15</v>
      </c>
      <c r="B29" s="5">
        <f t="shared" si="5"/>
        <v>3.8534349037305904E-2</v>
      </c>
      <c r="C29" s="5">
        <f t="shared" si="5"/>
        <v>2.9746773736703203E-2</v>
      </c>
      <c r="D29" s="5">
        <f t="shared" si="5"/>
        <v>2.4456363901000144E-2</v>
      </c>
      <c r="E29" s="5">
        <f t="shared" si="5"/>
        <v>1.7690015002865489E-2</v>
      </c>
      <c r="F29" s="5">
        <f t="shared" si="5"/>
        <v>1.3234018892958055E-2</v>
      </c>
      <c r="G29" s="5">
        <f t="shared" si="5"/>
        <v>8.3239682750727573E-3</v>
      </c>
      <c r="H29" s="5">
        <f t="shared" si="5"/>
        <v>1.3346748412020992E-2</v>
      </c>
      <c r="I29" s="5">
        <f t="shared" si="5"/>
        <v>1.8286070445124536E-2</v>
      </c>
      <c r="J29" s="5">
        <f t="shared" si="5"/>
        <v>2.5971025509374579E-2</v>
      </c>
      <c r="K29" s="5">
        <f t="shared" si="5"/>
        <v>3.2002686102285516E-2</v>
      </c>
      <c r="L29" s="5">
        <f t="shared" si="5"/>
        <v>4.2013792677387696E-2</v>
      </c>
    </row>
    <row r="30" spans="1:17" x14ac:dyDescent="0.2">
      <c r="A30" s="1" t="s">
        <v>16</v>
      </c>
      <c r="B30" s="5">
        <f t="shared" si="5"/>
        <v>5.3013083874756894E-2</v>
      </c>
      <c r="C30" s="5">
        <f t="shared" si="5"/>
        <v>4.0607772838950673E-2</v>
      </c>
      <c r="D30" s="5">
        <f t="shared" si="5"/>
        <v>3.3224697094351718E-2</v>
      </c>
      <c r="E30" s="5">
        <f t="shared" si="5"/>
        <v>2.3895577127138745E-2</v>
      </c>
      <c r="F30" s="5">
        <f t="shared" si="5"/>
        <v>1.7820589648932406E-2</v>
      </c>
      <c r="G30" s="5">
        <f t="shared" si="5"/>
        <v>1.108205688268904E-2</v>
      </c>
      <c r="H30" s="5">
        <f t="shared" si="5"/>
        <v>1.7868585797471637E-2</v>
      </c>
      <c r="I30" s="5">
        <f t="shared" si="5"/>
        <v>2.4602566865178366E-2</v>
      </c>
      <c r="J30" s="5">
        <f t="shared" si="5"/>
        <v>3.5142272492544535E-2</v>
      </c>
      <c r="K30" s="5">
        <f t="shared" si="5"/>
        <v>4.3462068490106032E-2</v>
      </c>
      <c r="L30" s="5">
        <f t="shared" si="5"/>
        <v>5.736308242110999E-2</v>
      </c>
    </row>
    <row r="31" spans="1:17" x14ac:dyDescent="0.2">
      <c r="A31" s="1" t="s">
        <v>17</v>
      </c>
      <c r="B31" s="5">
        <f t="shared" si="5"/>
        <v>6.7396406575271572E-2</v>
      </c>
      <c r="C31" s="5">
        <f t="shared" si="5"/>
        <v>5.1112705825546945E-2</v>
      </c>
      <c r="D31" s="5">
        <f t="shared" si="5"/>
        <v>4.150308679806769E-2</v>
      </c>
      <c r="E31" s="5">
        <f t="shared" si="5"/>
        <v>2.9578984992445601E-2</v>
      </c>
      <c r="F31" s="5">
        <f t="shared" si="5"/>
        <v>2.2005225779512028E-2</v>
      </c>
      <c r="G31" s="5">
        <f t="shared" si="5"/>
        <v>1.3536926934717475E-2</v>
      </c>
      <c r="H31" s="5">
        <f t="shared" si="5"/>
        <v>2.1937011845285515E-2</v>
      </c>
      <c r="I31" s="5">
        <f t="shared" si="5"/>
        <v>3.0312459313023399E-2</v>
      </c>
      <c r="J31" s="5">
        <f t="shared" si="5"/>
        <v>4.3580886320725654E-2</v>
      </c>
      <c r="K31" s="5">
        <f t="shared" si="5"/>
        <v>5.4108685630393616E-2</v>
      </c>
      <c r="L31" s="5">
        <f t="shared" si="5"/>
        <v>7.1812718951187793E-2</v>
      </c>
    </row>
    <row r="32" spans="1:17" x14ac:dyDescent="0.2">
      <c r="A32" s="1" t="s">
        <v>18</v>
      </c>
      <c r="B32" s="5">
        <f t="shared" si="5"/>
        <v>8.045807837692609E-2</v>
      </c>
      <c r="C32" s="5">
        <f t="shared" si="5"/>
        <v>6.0855317301191647E-2</v>
      </c>
      <c r="D32" s="5">
        <f t="shared" si="5"/>
        <v>4.9362763557870726E-2</v>
      </c>
      <c r="E32" s="5">
        <f t="shared" si="5"/>
        <v>3.5124558505971182E-2</v>
      </c>
      <c r="F32" s="5">
        <f t="shared" si="5"/>
        <v>2.6085329097771282E-2</v>
      </c>
      <c r="G32" s="5">
        <f t="shared" si="5"/>
        <v>1.5865022282389618E-2</v>
      </c>
      <c r="H32" s="5">
        <f t="shared" si="5"/>
        <v>2.5761840754434884E-2</v>
      </c>
      <c r="I32" s="5">
        <f t="shared" si="5"/>
        <v>3.5567846813391646E-2</v>
      </c>
      <c r="J32" s="5">
        <f t="shared" si="5"/>
        <v>5.1105690124255809E-2</v>
      </c>
      <c r="K32" s="5">
        <f t="shared" si="5"/>
        <v>6.3434945988595781E-2</v>
      </c>
      <c r="L32" s="5">
        <f t="shared" si="5"/>
        <v>8.4132575569535573E-2</v>
      </c>
    </row>
    <row r="33" spans="1:12" x14ac:dyDescent="0.2">
      <c r="A33" s="1" t="s">
        <v>19</v>
      </c>
      <c r="B33" s="5">
        <f>_xludf.price($T$1,B21,$T9,$N9,B9/100,$P9,$O9,B$25)</f>
        <v>0.10244860603424688</v>
      </c>
      <c r="C33" s="5">
        <f t="shared" ref="C33:L33" si="6">_xludf.price($T$1,C21,$T9,$N9,C9/100,$P9,$O9,C$25)</f>
        <v>7.6986316133618837E-2</v>
      </c>
      <c r="D33" s="5">
        <f t="shared" si="6"/>
        <v>6.2145670495936112E-2</v>
      </c>
      <c r="E33" s="5">
        <f t="shared" si="6"/>
        <v>4.4024016192178772E-2</v>
      </c>
      <c r="F33" s="5">
        <f t="shared" si="6"/>
        <v>3.2652230527760895E-2</v>
      </c>
      <c r="G33" s="5">
        <f t="shared" si="6"/>
        <v>1.9476369768087753E-2</v>
      </c>
      <c r="H33" s="5">
        <f t="shared" si="6"/>
        <v>3.1778846100380842E-2</v>
      </c>
      <c r="I33" s="5">
        <f t="shared" si="6"/>
        <v>4.3876116510544461E-2</v>
      </c>
      <c r="J33" s="5">
        <f t="shared" si="6"/>
        <v>6.3182874561013014E-2</v>
      </c>
      <c r="K33" s="5">
        <f t="shared" si="6"/>
        <v>7.8737080906072676E-2</v>
      </c>
      <c r="L33" s="5">
        <f t="shared" si="6"/>
        <v>0.10433818860445743</v>
      </c>
    </row>
    <row r="34" spans="1:12" x14ac:dyDescent="0.2">
      <c r="A34" s="1" t="s">
        <v>20</v>
      </c>
      <c r="B34" s="5">
        <f t="shared" si="5"/>
        <v>0.12935122754087836</v>
      </c>
      <c r="C34" s="5">
        <f t="shared" si="5"/>
        <v>9.6698441229727594E-2</v>
      </c>
      <c r="D34" s="5">
        <f t="shared" si="5"/>
        <v>7.7849903003681109E-2</v>
      </c>
      <c r="E34" s="5">
        <f t="shared" si="5"/>
        <v>5.4918516535731432E-2</v>
      </c>
      <c r="F34" s="5">
        <f t="shared" si="5"/>
        <v>4.0686930958894307E-2</v>
      </c>
      <c r="G34" s="5">
        <f t="shared" si="5"/>
        <v>2.368327025069189E-2</v>
      </c>
      <c r="H34" s="5">
        <f t="shared" si="5"/>
        <v>3.8922290177074381E-2</v>
      </c>
      <c r="I34" s="5">
        <f t="shared" si="5"/>
        <v>5.371369343296184E-2</v>
      </c>
      <c r="J34" s="5">
        <f t="shared" si="5"/>
        <v>7.7340713196852873E-2</v>
      </c>
      <c r="K34" s="5">
        <f t="shared" si="5"/>
        <v>9.6106740468616225E-2</v>
      </c>
      <c r="L34" s="5">
        <f t="shared" si="5"/>
        <v>0.12741259012763528</v>
      </c>
    </row>
    <row r="35" spans="1:12" x14ac:dyDescent="0.2">
      <c r="A35" s="1" t="s">
        <v>21</v>
      </c>
      <c r="B35" s="5">
        <f t="shared" si="5"/>
        <v>0.15850330404056812</v>
      </c>
      <c r="C35" s="5">
        <f t="shared" si="5"/>
        <v>0.1174809583006452</v>
      </c>
      <c r="D35" s="5">
        <f t="shared" si="5"/>
        <v>9.4163854269271097E-2</v>
      </c>
      <c r="E35" s="5">
        <f t="shared" si="5"/>
        <v>6.6081898527823646E-2</v>
      </c>
      <c r="F35" s="5">
        <f t="shared" si="5"/>
        <v>4.8838543883069407E-2</v>
      </c>
      <c r="G35" s="5">
        <f t="shared" si="5"/>
        <v>2.7737093571101989E-2</v>
      </c>
      <c r="H35" s="5">
        <f t="shared" si="5"/>
        <v>4.5967581113765865E-2</v>
      </c>
      <c r="I35" s="5">
        <f t="shared" si="5"/>
        <v>6.3517318689882418E-2</v>
      </c>
      <c r="J35" s="5">
        <f t="shared" si="5"/>
        <v>9.1704192607794277E-2</v>
      </c>
      <c r="K35" s="5">
        <f t="shared" si="5"/>
        <v>0.11423319489760519</v>
      </c>
      <c r="L35" s="5">
        <f t="shared" si="5"/>
        <v>0.15159369298671477</v>
      </c>
    </row>
    <row r="37" spans="1:12" x14ac:dyDescent="0.2">
      <c r="A37" s="7" t="s">
        <v>43</v>
      </c>
    </row>
    <row r="38" spans="1:12" x14ac:dyDescent="0.2">
      <c r="A38" s="1" t="s">
        <v>12</v>
      </c>
      <c r="B38" s="4">
        <f>opt_delta($T$1,B14,$T2,$N2,B2/100,$P2,$O2,B$25)</f>
        <v>-0.94987764200934865</v>
      </c>
      <c r="C38" s="4">
        <f t="shared" ref="C38:L38" si="7">opt_delta($T$1,C14,$T2,$N2,C2/100,$P2,$O2,C$25)</f>
        <v>-0.8998912363148065</v>
      </c>
      <c r="D38" s="4">
        <f t="shared" si="7"/>
        <v>-0.84990483062026523</v>
      </c>
      <c r="E38" s="4">
        <f t="shared" si="7"/>
        <v>-0.74993201923118569</v>
      </c>
      <c r="F38" s="4">
        <f t="shared" si="7"/>
        <v>-0.64995920784210759</v>
      </c>
      <c r="G38" s="4">
        <f t="shared" si="7"/>
        <v>0.49986405694540598</v>
      </c>
      <c r="H38" s="4">
        <f t="shared" si="7"/>
        <v>0.64995920784210837</v>
      </c>
      <c r="I38" s="4">
        <f t="shared" si="7"/>
        <v>0.74993201923118502</v>
      </c>
      <c r="J38" s="4">
        <f t="shared" si="7"/>
        <v>0.84990483062026667</v>
      </c>
      <c r="K38" s="4">
        <f t="shared" si="7"/>
        <v>0.89989123631480883</v>
      </c>
      <c r="L38" s="4">
        <f t="shared" si="7"/>
        <v>0.94987764200934954</v>
      </c>
    </row>
    <row r="39" spans="1:12" x14ac:dyDescent="0.2">
      <c r="A39" s="1" t="s">
        <v>13</v>
      </c>
      <c r="B39" s="4">
        <f t="shared" ref="B39:L47" si="8">opt_delta($T$1,B15,$T3,$N3,B3/100,$P3,$O3,B$25)</f>
        <v>-0.94979786633354113</v>
      </c>
      <c r="C39" s="4">
        <f t="shared" si="8"/>
        <v>-0.89982032282755231</v>
      </c>
      <c r="D39" s="4">
        <f t="shared" si="8"/>
        <v>-0.84984277932156316</v>
      </c>
      <c r="E39" s="4">
        <f t="shared" si="8"/>
        <v>-0.74988769230958507</v>
      </c>
      <c r="F39" s="4">
        <f t="shared" si="8"/>
        <v>-0.64993260529760188</v>
      </c>
      <c r="G39" s="4">
        <f t="shared" si="8"/>
        <v>0.49977543505989952</v>
      </c>
      <c r="H39" s="4">
        <f t="shared" si="8"/>
        <v>0.64993260529760077</v>
      </c>
      <c r="I39" s="4">
        <f t="shared" si="8"/>
        <v>0.74988769230958296</v>
      </c>
      <c r="J39" s="4">
        <f t="shared" si="8"/>
        <v>0.84984277932156116</v>
      </c>
      <c r="K39" s="4">
        <f t="shared" si="8"/>
        <v>0.89982032282755309</v>
      </c>
      <c r="L39" s="4">
        <f t="shared" si="8"/>
        <v>0.94979786633354091</v>
      </c>
    </row>
    <row r="40" spans="1:12" x14ac:dyDescent="0.2">
      <c r="A40" s="1" t="s">
        <v>14</v>
      </c>
      <c r="B40" s="4">
        <f t="shared" si="8"/>
        <v>-0.94963037517792215</v>
      </c>
      <c r="C40" s="4">
        <f t="shared" si="8"/>
        <v>-0.89967143523248172</v>
      </c>
      <c r="D40" s="4">
        <f t="shared" si="8"/>
        <v>-0.84971249528704396</v>
      </c>
      <c r="E40" s="4">
        <f t="shared" si="8"/>
        <v>-0.74979461539616565</v>
      </c>
      <c r="F40" s="4">
        <f t="shared" si="8"/>
        <v>-0.64987673550528313</v>
      </c>
      <c r="G40" s="4">
        <f t="shared" si="8"/>
        <v>0.49958939945439218</v>
      </c>
      <c r="H40" s="4">
        <f t="shared" si="8"/>
        <v>0.64987673550528557</v>
      </c>
      <c r="I40" s="4">
        <f t="shared" si="8"/>
        <v>0.74979461539616421</v>
      </c>
      <c r="J40" s="4">
        <f t="shared" si="8"/>
        <v>0.84971249528704262</v>
      </c>
      <c r="K40" s="4">
        <f t="shared" si="8"/>
        <v>0.89967143523248161</v>
      </c>
      <c r="L40" s="4">
        <f t="shared" si="8"/>
        <v>0.94963037517792093</v>
      </c>
    </row>
    <row r="41" spans="1:12" x14ac:dyDescent="0.2">
      <c r="A41" s="1" t="s">
        <v>15</v>
      </c>
      <c r="B41" s="4">
        <f t="shared" si="8"/>
        <v>-0.94934995876478778</v>
      </c>
      <c r="C41" s="4">
        <f t="shared" si="8"/>
        <v>-0.8994221565892957</v>
      </c>
      <c r="D41" s="4">
        <f t="shared" si="8"/>
        <v>-0.84949435441380605</v>
      </c>
      <c r="E41" s="4">
        <f t="shared" si="8"/>
        <v>-0.74963875006282166</v>
      </c>
      <c r="F41" s="4">
        <f t="shared" si="8"/>
        <v>-0.64978314571184381</v>
      </c>
      <c r="G41" s="4">
        <f t="shared" si="8"/>
        <v>0.49927802175490904</v>
      </c>
      <c r="H41" s="4">
        <f t="shared" si="8"/>
        <v>0.64978314571184104</v>
      </c>
      <c r="I41" s="4">
        <f t="shared" si="8"/>
        <v>0.74963875006282621</v>
      </c>
      <c r="J41" s="4">
        <f t="shared" si="8"/>
        <v>0.84949435441380483</v>
      </c>
      <c r="K41" s="4">
        <f t="shared" si="8"/>
        <v>0.89942215658929603</v>
      </c>
      <c r="L41" s="4">
        <f t="shared" si="8"/>
        <v>0.94934995876478734</v>
      </c>
    </row>
    <row r="42" spans="1:12" x14ac:dyDescent="0.2">
      <c r="A42" s="1" t="s">
        <v>16</v>
      </c>
      <c r="B42" s="4">
        <f t="shared" si="8"/>
        <v>-0.94849811509431881</v>
      </c>
      <c r="C42" s="4">
        <f t="shared" si="8"/>
        <v>-0.89866483651455686</v>
      </c>
      <c r="D42" s="4">
        <f t="shared" si="8"/>
        <v>-0.84883155793479625</v>
      </c>
      <c r="E42" s="4">
        <f t="shared" si="8"/>
        <v>-0.74916500077527237</v>
      </c>
      <c r="F42" s="4">
        <f t="shared" si="8"/>
        <v>-0.64949844361574971</v>
      </c>
      <c r="G42" s="4">
        <f t="shared" si="8"/>
        <v>0.49833278579761464</v>
      </c>
      <c r="H42" s="4">
        <f t="shared" si="8"/>
        <v>0.64949844361574904</v>
      </c>
      <c r="I42" s="4">
        <f t="shared" si="8"/>
        <v>0.74916500077527148</v>
      </c>
      <c r="J42" s="4">
        <f t="shared" si="8"/>
        <v>0.84883155793479592</v>
      </c>
      <c r="K42" s="4">
        <f t="shared" si="8"/>
        <v>0.8986648365145572</v>
      </c>
      <c r="L42" s="4">
        <f t="shared" si="8"/>
        <v>0.94849811509431881</v>
      </c>
    </row>
    <row r="43" spans="1:12" x14ac:dyDescent="0.2">
      <c r="A43" s="1" t="s">
        <v>17</v>
      </c>
      <c r="B43" s="4">
        <f t="shared" si="8"/>
        <v>-0.94770086465004577</v>
      </c>
      <c r="C43" s="4">
        <f t="shared" si="8"/>
        <v>-0.8979559616832038</v>
      </c>
      <c r="D43" s="4">
        <f t="shared" si="8"/>
        <v>-0.84821105871636171</v>
      </c>
      <c r="E43" s="4">
        <f t="shared" si="8"/>
        <v>-0.74872125278267654</v>
      </c>
      <c r="F43" s="4">
        <f t="shared" si="8"/>
        <v>-0.64923144684899259</v>
      </c>
      <c r="G43" s="4">
        <f t="shared" si="8"/>
        <v>0.49744902966842025</v>
      </c>
      <c r="H43" s="4">
        <f t="shared" si="8"/>
        <v>0.64923144684899392</v>
      </c>
      <c r="I43" s="4">
        <f t="shared" si="8"/>
        <v>0.74872125278267632</v>
      </c>
      <c r="J43" s="4">
        <f t="shared" si="8"/>
        <v>0.84821105871636115</v>
      </c>
      <c r="K43" s="4">
        <f t="shared" si="8"/>
        <v>0.89795596168320357</v>
      </c>
      <c r="L43" s="4">
        <f t="shared" si="8"/>
        <v>0.94770086465004577</v>
      </c>
    </row>
    <row r="44" spans="1:12" x14ac:dyDescent="0.2">
      <c r="A44" s="1" t="s">
        <v>18</v>
      </c>
      <c r="B44" s="4">
        <f t="shared" si="8"/>
        <v>-0.94681003652743867</v>
      </c>
      <c r="C44" s="4">
        <f t="shared" si="8"/>
        <v>-0.89716377925474411</v>
      </c>
      <c r="D44" s="4">
        <f t="shared" si="8"/>
        <v>-0.84751752198204877</v>
      </c>
      <c r="E44" s="4">
        <f t="shared" si="8"/>
        <v>-0.74822500743665876</v>
      </c>
      <c r="F44" s="4">
        <f t="shared" si="8"/>
        <v>-0.64893249289126909</v>
      </c>
      <c r="G44" s="4">
        <f t="shared" si="8"/>
        <v>0.49646257272694999</v>
      </c>
      <c r="H44" s="4">
        <f t="shared" si="8"/>
        <v>0.64893249289127031</v>
      </c>
      <c r="I44" s="4">
        <f t="shared" si="8"/>
        <v>0.74822500743665932</v>
      </c>
      <c r="J44" s="4">
        <f t="shared" si="8"/>
        <v>0.84751752198204944</v>
      </c>
      <c r="K44" s="4">
        <f t="shared" si="8"/>
        <v>0.89716377925474444</v>
      </c>
      <c r="L44" s="4">
        <f t="shared" si="8"/>
        <v>0.94681003652743878</v>
      </c>
    </row>
    <row r="45" spans="1:12" x14ac:dyDescent="0.2">
      <c r="A45" s="1" t="s">
        <v>19</v>
      </c>
      <c r="B45" s="4">
        <f t="shared" si="8"/>
        <v>-0.94499043719399467</v>
      </c>
      <c r="C45" s="4">
        <f t="shared" si="8"/>
        <v>-0.89554533510449208</v>
      </c>
      <c r="D45" s="4">
        <f t="shared" si="8"/>
        <v>-0.8461002330149886</v>
      </c>
      <c r="E45" s="4">
        <f t="shared" si="8"/>
        <v>-0.74721002883598331</v>
      </c>
      <c r="F45" s="4">
        <f t="shared" si="8"/>
        <v>-0.64831982465697657</v>
      </c>
      <c r="G45" s="4">
        <f t="shared" si="8"/>
        <v>0.49445102089502974</v>
      </c>
      <c r="H45" s="4">
        <f t="shared" si="8"/>
        <v>0.6483198246569768</v>
      </c>
      <c r="I45" s="4">
        <f t="shared" si="8"/>
        <v>0.74721002883598298</v>
      </c>
      <c r="J45" s="4">
        <f t="shared" si="8"/>
        <v>0.84610023301498838</v>
      </c>
      <c r="K45" s="4">
        <f t="shared" si="8"/>
        <v>0.89554533510449152</v>
      </c>
      <c r="L45" s="4">
        <f t="shared" si="8"/>
        <v>0.944990437193995</v>
      </c>
    </row>
    <row r="46" spans="1:12" x14ac:dyDescent="0.2">
      <c r="A46" s="1" t="s">
        <v>20</v>
      </c>
      <c r="B46" s="4">
        <f t="shared" si="8"/>
        <v>-0.9421600231815821</v>
      </c>
      <c r="C46" s="4">
        <f t="shared" si="8"/>
        <v>-0.8930269200697537</v>
      </c>
      <c r="D46" s="4">
        <f t="shared" si="8"/>
        <v>-0.84389381695792576</v>
      </c>
      <c r="E46" s="4">
        <f t="shared" si="8"/>
        <v>-0.74562761073426942</v>
      </c>
      <c r="F46" s="4">
        <f t="shared" si="8"/>
        <v>-0.64736140451061264</v>
      </c>
      <c r="G46" s="4">
        <f t="shared" si="8"/>
        <v>0.49133103111828141</v>
      </c>
      <c r="H46" s="4">
        <f t="shared" si="8"/>
        <v>0.64736140451061364</v>
      </c>
      <c r="I46" s="4">
        <f t="shared" si="8"/>
        <v>0.74562761073426975</v>
      </c>
      <c r="J46" s="4">
        <f t="shared" si="8"/>
        <v>0.84389381695792576</v>
      </c>
      <c r="K46" s="4">
        <f t="shared" si="8"/>
        <v>0.8930269200697537</v>
      </c>
      <c r="L46" s="4">
        <f t="shared" si="8"/>
        <v>0.94216002318158198</v>
      </c>
    </row>
    <row r="47" spans="1:12" x14ac:dyDescent="0.2">
      <c r="A47" s="1" t="s">
        <v>21</v>
      </c>
      <c r="B47" s="4">
        <f t="shared" si="8"/>
        <v>-0.93928414102506097</v>
      </c>
      <c r="C47" s="4">
        <f t="shared" si="8"/>
        <v>-0.89046692659216875</v>
      </c>
      <c r="D47" s="4">
        <f t="shared" si="8"/>
        <v>-0.84164971215927575</v>
      </c>
      <c r="E47" s="4">
        <f t="shared" si="8"/>
        <v>-0.74401528329349231</v>
      </c>
      <c r="F47" s="4">
        <f t="shared" si="8"/>
        <v>-0.64638085442770776</v>
      </c>
      <c r="G47" s="4">
        <f t="shared" si="8"/>
        <v>0.48817214432892148</v>
      </c>
      <c r="H47" s="4">
        <f t="shared" si="8"/>
        <v>0.64638085442770821</v>
      </c>
      <c r="I47" s="4">
        <f t="shared" si="8"/>
        <v>0.74401528329349242</v>
      </c>
      <c r="J47" s="4">
        <f t="shared" si="8"/>
        <v>0.84164971215927575</v>
      </c>
      <c r="K47" s="4">
        <f t="shared" si="8"/>
        <v>0.89046692659216864</v>
      </c>
      <c r="L47" s="4">
        <f t="shared" si="8"/>
        <v>0.93928414102506075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11"/>
  <sheetViews>
    <sheetView tabSelected="1" topLeftCell="A83" workbookViewId="0">
      <selection activeCell="B101" sqref="A1:F111"/>
    </sheetView>
  </sheetViews>
  <sheetFormatPr baseColWidth="10" defaultRowHeight="13" x14ac:dyDescent="0.15"/>
  <sheetData>
    <row r="1" spans="1:6" ht="16" x14ac:dyDescent="0.2">
      <c r="A1" s="1" t="s">
        <v>38</v>
      </c>
      <c r="B1" s="1" t="s">
        <v>39</v>
      </c>
      <c r="C1" s="1" t="s">
        <v>37</v>
      </c>
      <c r="D1" s="1" t="s">
        <v>40</v>
      </c>
      <c r="E1" s="1" t="s">
        <v>41</v>
      </c>
      <c r="F1" s="1" t="s">
        <v>42</v>
      </c>
    </row>
    <row r="2" spans="1:6" x14ac:dyDescent="0.15">
      <c r="A2" s="17">
        <f>Feuil1!B26</f>
        <v>1.6674201342592898E-2</v>
      </c>
      <c r="B2" s="17">
        <f>Feuil1!B14</f>
        <v>0.98908903255065617</v>
      </c>
      <c r="C2" s="17">
        <v>1.9230769230769232E-2</v>
      </c>
      <c r="D2" s="17">
        <f>Feuil1!$P2</f>
        <v>-1.298E-2</v>
      </c>
      <c r="E2" s="17">
        <f>Feuil1!$O2</f>
        <v>7.0699999999999999E-3</v>
      </c>
      <c r="F2" s="17">
        <f>Feuil1!$B$25</f>
        <v>-1</v>
      </c>
    </row>
    <row r="3" spans="1:6" x14ac:dyDescent="0.15">
      <c r="A3" s="17">
        <f>Feuil1!B27</f>
        <v>2.3611744365432008E-2</v>
      </c>
      <c r="B3" s="17">
        <f>Feuil1!B15</f>
        <v>0.99554688619604126</v>
      </c>
      <c r="C3" s="17">
        <v>3.8461538461538464E-2</v>
      </c>
      <c r="D3" s="17">
        <f>Feuil1!$P3</f>
        <v>-1.453E-2</v>
      </c>
      <c r="E3" s="17">
        <f>Feuil1!$O3</f>
        <v>5.8399999999999997E-3</v>
      </c>
      <c r="F3" s="17">
        <f>Feuil1!$B$25</f>
        <v>-1</v>
      </c>
    </row>
    <row r="4" spans="1:6" x14ac:dyDescent="0.15">
      <c r="A4" s="17">
        <f>Feuil1!B28</f>
        <v>3.0152785633516088E-2</v>
      </c>
      <c r="B4" s="17">
        <f>Feuil1!B16</f>
        <v>1.001615325936245</v>
      </c>
      <c r="C4" s="17">
        <v>5.7692307692307696E-2</v>
      </c>
      <c r="D4" s="17">
        <f>Feuil1!$P4</f>
        <v>-1.332E-2</v>
      </c>
      <c r="E4" s="17">
        <f>Feuil1!$O4</f>
        <v>7.1199999999999996E-3</v>
      </c>
      <c r="F4" s="17">
        <f>Feuil1!$B$25</f>
        <v>-1</v>
      </c>
    </row>
    <row r="5" spans="1:6" x14ac:dyDescent="0.15">
      <c r="A5" s="17">
        <f>Feuil1!B29</f>
        <v>3.8534349037305904E-2</v>
      </c>
      <c r="B5" s="17">
        <f>Feuil1!B17</f>
        <v>1.0093342700575763</v>
      </c>
      <c r="C5" s="17">
        <v>8.3333333333333329E-2</v>
      </c>
      <c r="D5" s="17">
        <f>Feuil1!$P5</f>
        <v>-1.225E-2</v>
      </c>
      <c r="E5" s="17">
        <f>Feuil1!$O5</f>
        <v>8.6700000000000006E-3</v>
      </c>
      <c r="F5" s="17">
        <f>Feuil1!$B$25</f>
        <v>-1</v>
      </c>
    </row>
    <row r="6" spans="1:6" x14ac:dyDescent="0.15">
      <c r="A6" s="17">
        <f>Feuil1!B30</f>
        <v>5.3013083874756894E-2</v>
      </c>
      <c r="B6" s="17">
        <f>Feuil1!B18</f>
        <v>1.0215835521932415</v>
      </c>
      <c r="C6" s="17">
        <v>0.16666666666666666</v>
      </c>
      <c r="D6" s="17">
        <f>Feuil1!$P6</f>
        <v>-1.2749999999999999E-2</v>
      </c>
      <c r="E6" s="17">
        <f>Feuil1!$O6</f>
        <v>1.0019999999999999E-2</v>
      </c>
      <c r="F6" s="17">
        <f>Feuil1!$B$25</f>
        <v>-1</v>
      </c>
    </row>
    <row r="7" spans="1:6" x14ac:dyDescent="0.15">
      <c r="A7" s="17">
        <f>Feuil1!B31</f>
        <v>6.7396406575271572E-2</v>
      </c>
      <c r="B7" s="17">
        <f>Feuil1!B19</f>
        <v>1.033889359781049</v>
      </c>
      <c r="C7" s="17">
        <v>0.25</v>
      </c>
      <c r="D7" s="17">
        <f>Feuil1!$P7</f>
        <v>-1.247E-2</v>
      </c>
      <c r="E7" s="17">
        <f>Feuil1!$O7</f>
        <v>1.023E-2</v>
      </c>
      <c r="F7" s="17">
        <f>Feuil1!$B$25</f>
        <v>-1</v>
      </c>
    </row>
    <row r="8" spans="1:6" x14ac:dyDescent="0.15">
      <c r="A8" s="17">
        <f>Feuil1!B32</f>
        <v>8.045807837692609E-2</v>
      </c>
      <c r="B8" s="17">
        <f>Feuil1!B20</f>
        <v>1.0449074132770426</v>
      </c>
      <c r="C8" s="17">
        <v>0.33333333333333331</v>
      </c>
      <c r="D8" s="17">
        <f>Feuil1!$P8</f>
        <v>-1.1939999999999999E-2</v>
      </c>
      <c r="E8" s="17">
        <f>Feuil1!$O8</f>
        <v>1.065E-2</v>
      </c>
      <c r="F8" s="17">
        <f>Feuil1!$B$25</f>
        <v>-1</v>
      </c>
    </row>
    <row r="9" spans="1:6" x14ac:dyDescent="0.15">
      <c r="A9" s="17">
        <f>Feuil1!B33</f>
        <v>0.10244860603424688</v>
      </c>
      <c r="B9" s="17">
        <f>Feuil1!B21</f>
        <v>1.0623679094612759</v>
      </c>
      <c r="C9" s="17">
        <v>0.5</v>
      </c>
      <c r="D9" s="17">
        <f>Feuil1!$P9</f>
        <v>-1.2200000000000001E-2</v>
      </c>
      <c r="E9" s="17">
        <f>Feuil1!$O9</f>
        <v>1.116E-2</v>
      </c>
      <c r="F9" s="17">
        <f>Feuil1!$B$25</f>
        <v>-1</v>
      </c>
    </row>
    <row r="10" spans="1:6" x14ac:dyDescent="0.15">
      <c r="A10" s="17">
        <f>Feuil1!B34</f>
        <v>0.12935122754087836</v>
      </c>
      <c r="B10" s="17">
        <f>Feuil1!B22</f>
        <v>1.0823167649752174</v>
      </c>
      <c r="C10" s="17">
        <v>0.75</v>
      </c>
      <c r="D10" s="17">
        <f>Feuil1!$P10</f>
        <v>-1.242E-2</v>
      </c>
      <c r="E10" s="17">
        <f>Feuil1!$O10</f>
        <v>1.166E-2</v>
      </c>
      <c r="F10" s="17">
        <f>Feuil1!$B$25</f>
        <v>-1</v>
      </c>
    </row>
    <row r="11" spans="1:6" x14ac:dyDescent="0.15">
      <c r="A11" s="17">
        <f>Feuil1!B35</f>
        <v>0.15850330404056812</v>
      </c>
      <c r="B11" s="17">
        <f>Feuil1!B23</f>
        <v>1.1044703366823299</v>
      </c>
      <c r="C11" s="17">
        <v>1</v>
      </c>
      <c r="D11" s="17">
        <f>Feuil1!$P11</f>
        <v>-1.2370000000000001E-2</v>
      </c>
      <c r="E11" s="17">
        <f>Feuil1!$O11</f>
        <v>1.197E-2</v>
      </c>
      <c r="F11" s="17">
        <f>Feuil1!$B$25</f>
        <v>-1</v>
      </c>
    </row>
    <row r="12" spans="1:6" x14ac:dyDescent="0.15">
      <c r="A12" s="17">
        <f>Feuil1!C26</f>
        <v>1.2976040321629578E-2</v>
      </c>
      <c r="B12" s="17">
        <f>Feuil1!C14</f>
        <v>0.9851420090933819</v>
      </c>
      <c r="C12" s="17">
        <v>1.9230769230769232E-2</v>
      </c>
      <c r="D12" s="17">
        <f>Feuil1!$P2</f>
        <v>-1.298E-2</v>
      </c>
      <c r="E12" s="17">
        <f>Feuil1!$O2</f>
        <v>7.0699999999999999E-3</v>
      </c>
      <c r="F12" s="17">
        <f>Feuil1!$C$25</f>
        <v>-1</v>
      </c>
    </row>
    <row r="13" spans="1:6" x14ac:dyDescent="0.15">
      <c r="A13" s="17">
        <f>Feuil1!C27</f>
        <v>1.8330708743380386E-2</v>
      </c>
      <c r="B13" s="17">
        <f>Feuil1!C15</f>
        <v>0.9899186352611139</v>
      </c>
      <c r="C13" s="17">
        <v>3.8461538461538464E-2</v>
      </c>
      <c r="D13" s="17">
        <f>Feuil1!$P3</f>
        <v>-1.453E-2</v>
      </c>
      <c r="E13" s="17">
        <f>Feuil1!$O3</f>
        <v>5.8399999999999997E-3</v>
      </c>
      <c r="F13" s="17">
        <f>Feuil1!$C$25</f>
        <v>-1</v>
      </c>
    </row>
    <row r="14" spans="1:6" x14ac:dyDescent="0.15">
      <c r="A14" s="17">
        <f>Feuil1!C28</f>
        <v>2.3433513275582407E-2</v>
      </c>
      <c r="B14" s="17">
        <f>Feuil1!C16</f>
        <v>0.99445565068298614</v>
      </c>
      <c r="C14" s="17">
        <v>5.7692307692307696E-2</v>
      </c>
      <c r="D14" s="17">
        <f>Feuil1!$P4</f>
        <v>-1.332E-2</v>
      </c>
      <c r="E14" s="17">
        <f>Feuil1!$O4</f>
        <v>7.1199999999999996E-3</v>
      </c>
      <c r="F14" s="17">
        <f>Feuil1!$C$25</f>
        <v>-1</v>
      </c>
    </row>
    <row r="15" spans="1:6" x14ac:dyDescent="0.15">
      <c r="A15" s="17">
        <f>Feuil1!C29</f>
        <v>2.9746773736703203E-2</v>
      </c>
      <c r="B15" s="17">
        <f>Feuil1!C17</f>
        <v>0.99999696885053391</v>
      </c>
      <c r="C15" s="17">
        <v>8.3333333333333329E-2</v>
      </c>
      <c r="D15" s="17">
        <f>Feuil1!$P5</f>
        <v>-1.225E-2</v>
      </c>
      <c r="E15" s="17">
        <f>Feuil1!$O5</f>
        <v>8.6700000000000006E-3</v>
      </c>
      <c r="F15" s="17">
        <f>Feuil1!$C$25</f>
        <v>-1</v>
      </c>
    </row>
    <row r="16" spans="1:6" x14ac:dyDescent="0.15">
      <c r="A16" s="17">
        <f>Feuil1!C30</f>
        <v>4.0607772838950673E-2</v>
      </c>
      <c r="B16" s="17">
        <f>Feuil1!C18</f>
        <v>1.0084564852708793</v>
      </c>
      <c r="C16" s="17">
        <v>0.16666666666666666</v>
      </c>
      <c r="D16" s="17">
        <f>Feuil1!$P6</f>
        <v>-1.2749999999999999E-2</v>
      </c>
      <c r="E16" s="17">
        <f>Feuil1!$O6</f>
        <v>1.0019999999999999E-2</v>
      </c>
      <c r="F16" s="17">
        <f>Feuil1!$C$25</f>
        <v>-1</v>
      </c>
    </row>
    <row r="17" spans="1:6" x14ac:dyDescent="0.15">
      <c r="A17" s="17">
        <f>Feuil1!C31</f>
        <v>5.1112705825546945E-2</v>
      </c>
      <c r="B17" s="17">
        <f>Feuil1!C19</f>
        <v>1.0167337201821478</v>
      </c>
      <c r="C17" s="17">
        <v>0.25</v>
      </c>
      <c r="D17" s="17">
        <f>Feuil1!$P7</f>
        <v>-1.247E-2</v>
      </c>
      <c r="E17" s="17">
        <f>Feuil1!$O7</f>
        <v>1.023E-2</v>
      </c>
      <c r="F17" s="17">
        <f>Feuil1!$C$25</f>
        <v>-1</v>
      </c>
    </row>
    <row r="18" spans="1:6" x14ac:dyDescent="0.15">
      <c r="A18" s="17">
        <f>Feuil1!C32</f>
        <v>6.0855317301191647E-2</v>
      </c>
      <c r="B18" s="17">
        <f>Feuil1!C20</f>
        <v>1.0242989501657451</v>
      </c>
      <c r="C18" s="17">
        <v>0.33333333333333331</v>
      </c>
      <c r="D18" s="17">
        <f>Feuil1!$P8</f>
        <v>-1.1939999999999999E-2</v>
      </c>
      <c r="E18" s="17">
        <f>Feuil1!$O8</f>
        <v>1.065E-2</v>
      </c>
      <c r="F18" s="17">
        <f>Feuil1!$C$25</f>
        <v>-1</v>
      </c>
    </row>
    <row r="19" spans="1:6" x14ac:dyDescent="0.15">
      <c r="A19" s="17">
        <f>Feuil1!C33</f>
        <v>7.6986316133618837E-2</v>
      </c>
      <c r="B19" s="17">
        <f>Feuil1!C21</f>
        <v>1.0357240422359519</v>
      </c>
      <c r="C19" s="17">
        <v>0.5</v>
      </c>
      <c r="D19" s="17">
        <f>Feuil1!$P9</f>
        <v>-1.2200000000000001E-2</v>
      </c>
      <c r="E19" s="17">
        <f>Feuil1!$O9</f>
        <v>1.116E-2</v>
      </c>
      <c r="F19" s="17">
        <f>Feuil1!$C$25</f>
        <v>-1</v>
      </c>
    </row>
    <row r="20" spans="1:6" x14ac:dyDescent="0.15">
      <c r="A20" s="17">
        <f>Feuil1!C34</f>
        <v>9.6698441229727594E-2</v>
      </c>
      <c r="B20" s="17">
        <f>Feuil1!C22</f>
        <v>1.0483381235355151</v>
      </c>
      <c r="C20" s="17">
        <v>0.75</v>
      </c>
      <c r="D20" s="17">
        <f>Feuil1!$P10</f>
        <v>-1.242E-2</v>
      </c>
      <c r="E20" s="17">
        <f>Feuil1!$O10</f>
        <v>1.166E-2</v>
      </c>
      <c r="F20" s="17">
        <f>Feuil1!$C$25</f>
        <v>-1</v>
      </c>
    </row>
    <row r="21" spans="1:6" x14ac:dyDescent="0.15">
      <c r="A21" s="17">
        <f>Feuil1!C35</f>
        <v>0.1174809583006452</v>
      </c>
      <c r="B21" s="17">
        <f>Feuil1!C23</f>
        <v>1.0620384280051938</v>
      </c>
      <c r="C21" s="17">
        <v>1</v>
      </c>
      <c r="D21" s="17">
        <f>Feuil1!$P11</f>
        <v>-1.2370000000000001E-2</v>
      </c>
      <c r="E21" s="17">
        <f>Feuil1!$O11</f>
        <v>1.197E-2</v>
      </c>
      <c r="F21" s="17">
        <f>Feuil1!$C$25</f>
        <v>-1</v>
      </c>
    </row>
    <row r="22" spans="1:6" x14ac:dyDescent="0.15">
      <c r="A22" s="17">
        <f>Feuil1!D26</f>
        <v>1.0728130367056332E-2</v>
      </c>
      <c r="B22" s="17">
        <f>Feuil1!D14</f>
        <v>0.98261242040622043</v>
      </c>
      <c r="C22" s="17">
        <v>1.9230769230769232E-2</v>
      </c>
      <c r="D22" s="17">
        <f>Feuil1!$P2</f>
        <v>-1.298E-2</v>
      </c>
      <c r="E22" s="17">
        <f>Feuil1!$O2</f>
        <v>7.0699999999999999E-3</v>
      </c>
      <c r="F22" s="17">
        <f>Feuil1!$D$25</f>
        <v>-1</v>
      </c>
    </row>
    <row r="23" spans="1:6" x14ac:dyDescent="0.15">
      <c r="A23" s="17">
        <f>Feuil1!D27</f>
        <v>1.5133387688960886E-2</v>
      </c>
      <c r="B23" s="17">
        <f>Feuil1!D15</f>
        <v>0.98632802626082372</v>
      </c>
      <c r="C23" s="17">
        <v>3.8461538461538464E-2</v>
      </c>
      <c r="D23" s="17">
        <f>Feuil1!$P3</f>
        <v>-1.453E-2</v>
      </c>
      <c r="E23" s="17">
        <f>Feuil1!$O3</f>
        <v>5.8399999999999997E-3</v>
      </c>
      <c r="F23" s="17">
        <f>Feuil1!$D$25</f>
        <v>-1</v>
      </c>
    </row>
    <row r="24" spans="1:6" x14ac:dyDescent="0.15">
      <c r="A24" s="17">
        <f>Feuil1!D28</f>
        <v>1.9361075853250642E-2</v>
      </c>
      <c r="B24" s="17">
        <f>Feuil1!D16</f>
        <v>0.98988295390007808</v>
      </c>
      <c r="C24" s="17">
        <v>5.7692307692307696E-2</v>
      </c>
      <c r="D24" s="17">
        <f>Feuil1!$P4</f>
        <v>-1.332E-2</v>
      </c>
      <c r="E24" s="17">
        <f>Feuil1!$O4</f>
        <v>7.1199999999999996E-3</v>
      </c>
      <c r="F24" s="17">
        <f>Feuil1!$D$25</f>
        <v>-1</v>
      </c>
    </row>
    <row r="25" spans="1:6" x14ac:dyDescent="0.15">
      <c r="A25" s="17">
        <f>Feuil1!D29</f>
        <v>2.4456363901000144E-2</v>
      </c>
      <c r="B25" s="17">
        <f>Feuil1!D17</f>
        <v>0.9940851112360527</v>
      </c>
      <c r="C25" s="17">
        <v>8.3333333333333329E-2</v>
      </c>
      <c r="D25" s="17">
        <f>Feuil1!$P5</f>
        <v>-1.225E-2</v>
      </c>
      <c r="E25" s="17">
        <f>Feuil1!$O5</f>
        <v>8.6700000000000006E-3</v>
      </c>
      <c r="F25" s="17">
        <f>Feuil1!$D$25</f>
        <v>-1</v>
      </c>
    </row>
    <row r="26" spans="1:6" x14ac:dyDescent="0.15">
      <c r="A26" s="17">
        <f>Feuil1!D30</f>
        <v>3.3224697094351718E-2</v>
      </c>
      <c r="B26" s="17">
        <f>Feuil1!D18</f>
        <v>1.0002544922725198</v>
      </c>
      <c r="C26" s="17">
        <v>0.16666666666666666</v>
      </c>
      <c r="D26" s="17">
        <f>Feuil1!$P6</f>
        <v>-1.2749999999999999E-2</v>
      </c>
      <c r="E26" s="17">
        <f>Feuil1!$O6</f>
        <v>1.0019999999999999E-2</v>
      </c>
      <c r="F26" s="17">
        <f>Feuil1!$D$25</f>
        <v>-1</v>
      </c>
    </row>
    <row r="27" spans="1:6" x14ac:dyDescent="0.15">
      <c r="A27" s="17">
        <f>Feuil1!D31</f>
        <v>4.150308679806769E-2</v>
      </c>
      <c r="B27" s="17">
        <f>Feuil1!D19</f>
        <v>1.0061358198805543</v>
      </c>
      <c r="C27" s="17">
        <v>0.25</v>
      </c>
      <c r="D27" s="17">
        <f>Feuil1!$P7</f>
        <v>-1.247E-2</v>
      </c>
      <c r="E27" s="17">
        <f>Feuil1!$O7</f>
        <v>1.023E-2</v>
      </c>
      <c r="F27" s="17">
        <f>Feuil1!$D$25</f>
        <v>-1</v>
      </c>
    </row>
    <row r="28" spans="1:6" x14ac:dyDescent="0.15">
      <c r="A28" s="17">
        <f>Feuil1!D32</f>
        <v>4.9362763557870726E-2</v>
      </c>
      <c r="B28" s="17">
        <f>Feuil1!D20</f>
        <v>1.011656299730348</v>
      </c>
      <c r="C28" s="17">
        <v>0.33333333333333331</v>
      </c>
      <c r="D28" s="17">
        <f>Feuil1!$P8</f>
        <v>-1.1939999999999999E-2</v>
      </c>
      <c r="E28" s="17">
        <f>Feuil1!$O8</f>
        <v>1.065E-2</v>
      </c>
      <c r="F28" s="17">
        <f>Feuil1!$D$25</f>
        <v>-1</v>
      </c>
    </row>
    <row r="29" spans="1:6" x14ac:dyDescent="0.15">
      <c r="A29" s="17">
        <f>Feuil1!D33</f>
        <v>6.2145670495936112E-2</v>
      </c>
      <c r="B29" s="17">
        <f>Feuil1!D21</f>
        <v>1.0195082504306312</v>
      </c>
      <c r="C29" s="17">
        <v>0.5</v>
      </c>
      <c r="D29" s="17">
        <f>Feuil1!$P9</f>
        <v>-1.2200000000000001E-2</v>
      </c>
      <c r="E29" s="17">
        <f>Feuil1!$O9</f>
        <v>1.116E-2</v>
      </c>
      <c r="F29" s="17">
        <f>Feuil1!$D$25</f>
        <v>-1</v>
      </c>
    </row>
    <row r="30" spans="1:6" x14ac:dyDescent="0.15">
      <c r="A30" s="17">
        <f>Feuil1!D34</f>
        <v>7.7849903003681109E-2</v>
      </c>
      <c r="B30" s="17">
        <f>Feuil1!D22</f>
        <v>1.0278819491229589</v>
      </c>
      <c r="C30" s="17">
        <v>0.75</v>
      </c>
      <c r="D30" s="17">
        <f>Feuil1!$P10</f>
        <v>-1.242E-2</v>
      </c>
      <c r="E30" s="17">
        <f>Feuil1!$O10</f>
        <v>1.166E-2</v>
      </c>
      <c r="F30" s="17">
        <f>Feuil1!$D$25</f>
        <v>-1</v>
      </c>
    </row>
    <row r="31" spans="1:6" x14ac:dyDescent="0.15">
      <c r="A31" s="17">
        <f>Feuil1!D35</f>
        <v>9.4163854269271097E-2</v>
      </c>
      <c r="B31" s="17">
        <f>Feuil1!D23</f>
        <v>1.0369206907105279</v>
      </c>
      <c r="C31" s="17">
        <v>1</v>
      </c>
      <c r="D31" s="17">
        <f>Feuil1!$P11</f>
        <v>-1.2370000000000001E-2</v>
      </c>
      <c r="E31" s="17">
        <f>Feuil1!$O11</f>
        <v>1.197E-2</v>
      </c>
      <c r="F31" s="17">
        <f>Feuil1!$D$25</f>
        <v>-1</v>
      </c>
    </row>
    <row r="32" spans="1:6" x14ac:dyDescent="0.15">
      <c r="A32" s="17">
        <f>Feuil1!E26</f>
        <v>7.8066459781037656E-3</v>
      </c>
      <c r="B32" s="17">
        <f>Feuil1!E14</f>
        <v>0.97903420719820156</v>
      </c>
      <c r="C32" s="17">
        <v>1.9230769230769232E-2</v>
      </c>
      <c r="D32" s="17">
        <f>Feuil1!$P2</f>
        <v>-1.298E-2</v>
      </c>
      <c r="E32" s="17">
        <f>Feuil1!$O2</f>
        <v>7.0699999999999999E-3</v>
      </c>
      <c r="F32" s="17">
        <f>Feuil1!$E$25</f>
        <v>-1</v>
      </c>
    </row>
    <row r="33" spans="1:6" x14ac:dyDescent="0.15">
      <c r="A33" s="17">
        <f>Feuil1!E27</f>
        <v>1.0999806302746884E-2</v>
      </c>
      <c r="B33" s="17">
        <f>Feuil1!E15</f>
        <v>0.98127639379382336</v>
      </c>
      <c r="C33" s="17">
        <v>3.8461538461538464E-2</v>
      </c>
      <c r="D33" s="17">
        <f>Feuil1!$P3</f>
        <v>-1.453E-2</v>
      </c>
      <c r="E33" s="17">
        <f>Feuil1!$O3</f>
        <v>5.8399999999999997E-3</v>
      </c>
      <c r="F33" s="17">
        <f>Feuil1!$E$25</f>
        <v>-1</v>
      </c>
    </row>
    <row r="34" spans="1:6" x14ac:dyDescent="0.15">
      <c r="A34" s="17">
        <f>Feuil1!E28</f>
        <v>1.4087451317664423E-2</v>
      </c>
      <c r="B34" s="17">
        <f>Feuil1!E16</f>
        <v>0.9834394623118996</v>
      </c>
      <c r="C34" s="17">
        <v>5.7692307692307696E-2</v>
      </c>
      <c r="D34" s="17">
        <f>Feuil1!$P4</f>
        <v>-1.332E-2</v>
      </c>
      <c r="E34" s="17">
        <f>Feuil1!$O4</f>
        <v>7.1199999999999996E-3</v>
      </c>
      <c r="F34" s="17">
        <f>Feuil1!$E$25</f>
        <v>-1</v>
      </c>
    </row>
    <row r="35" spans="1:6" x14ac:dyDescent="0.15">
      <c r="A35" s="17">
        <f>Feuil1!E29</f>
        <v>1.7690015002865489E-2</v>
      </c>
      <c r="B35" s="17">
        <f>Feuil1!E17</f>
        <v>0.98587024790195121</v>
      </c>
      <c r="C35" s="17">
        <v>8.3333333333333329E-2</v>
      </c>
      <c r="D35" s="17">
        <f>Feuil1!$P5</f>
        <v>-1.225E-2</v>
      </c>
      <c r="E35" s="17">
        <f>Feuil1!$O5</f>
        <v>8.6700000000000006E-3</v>
      </c>
      <c r="F35" s="17">
        <f>Feuil1!$E$25</f>
        <v>-1</v>
      </c>
    </row>
    <row r="36" spans="1:6" x14ac:dyDescent="0.15">
      <c r="A36" s="17">
        <f>Feuil1!E30</f>
        <v>2.3895577127138745E-2</v>
      </c>
      <c r="B36" s="17">
        <f>Feuil1!E18</f>
        <v>0.98901546518865446</v>
      </c>
      <c r="C36" s="17">
        <v>0.16666666666666666</v>
      </c>
      <c r="D36" s="17">
        <f>Feuil1!$P6</f>
        <v>-1.2749999999999999E-2</v>
      </c>
      <c r="E36" s="17">
        <f>Feuil1!$O6</f>
        <v>1.0019999999999999E-2</v>
      </c>
      <c r="F36" s="17">
        <f>Feuil1!$E$25</f>
        <v>-1</v>
      </c>
    </row>
    <row r="37" spans="1:6" x14ac:dyDescent="0.15">
      <c r="A37" s="17">
        <f>Feuil1!E31</f>
        <v>2.9578984992445601E-2</v>
      </c>
      <c r="B37" s="17">
        <f>Feuil1!E19</f>
        <v>0.99191035347379375</v>
      </c>
      <c r="C37" s="17">
        <v>0.25</v>
      </c>
      <c r="D37" s="17">
        <f>Feuil1!$P7</f>
        <v>-1.247E-2</v>
      </c>
      <c r="E37" s="17">
        <f>Feuil1!$O7</f>
        <v>1.023E-2</v>
      </c>
      <c r="F37" s="17">
        <f>Feuil1!$E$25</f>
        <v>-1</v>
      </c>
    </row>
    <row r="38" spans="1:6" x14ac:dyDescent="0.15">
      <c r="A38" s="17">
        <f>Feuil1!E32</f>
        <v>3.5124558505971182E-2</v>
      </c>
      <c r="B38" s="17">
        <f>Feuil1!E20</f>
        <v>0.99473287644906427</v>
      </c>
      <c r="C38" s="17">
        <v>0.33333333333333331</v>
      </c>
      <c r="D38" s="17">
        <f>Feuil1!$P8</f>
        <v>-1.1939999999999999E-2</v>
      </c>
      <c r="E38" s="17">
        <f>Feuil1!$O8</f>
        <v>1.065E-2</v>
      </c>
      <c r="F38" s="17">
        <f>Feuil1!$E$25</f>
        <v>-1</v>
      </c>
    </row>
    <row r="39" spans="1:6" x14ac:dyDescent="0.15">
      <c r="A39" s="17">
        <f>Feuil1!E33</f>
        <v>4.4024016192178772E-2</v>
      </c>
      <c r="B39" s="17">
        <f>Feuil1!E21</f>
        <v>0.99814218485186068</v>
      </c>
      <c r="C39" s="17">
        <v>0.5</v>
      </c>
      <c r="D39" s="17">
        <f>Feuil1!$P9</f>
        <v>-1.2200000000000001E-2</v>
      </c>
      <c r="E39" s="17">
        <f>Feuil1!$O9</f>
        <v>1.116E-2</v>
      </c>
      <c r="F39" s="17">
        <f>Feuil1!$E$25</f>
        <v>-1</v>
      </c>
    </row>
    <row r="40" spans="1:6" x14ac:dyDescent="0.15">
      <c r="A40" s="17">
        <f>Feuil1!E34</f>
        <v>5.4918516535731432E-2</v>
      </c>
      <c r="B40" s="17">
        <f>Feuil1!E22</f>
        <v>1.0011021929670654</v>
      </c>
      <c r="C40" s="17">
        <v>0.75</v>
      </c>
      <c r="D40" s="17">
        <f>Feuil1!$P10</f>
        <v>-1.242E-2</v>
      </c>
      <c r="E40" s="17">
        <f>Feuil1!$O10</f>
        <v>1.166E-2</v>
      </c>
      <c r="F40" s="17">
        <f>Feuil1!$E$25</f>
        <v>-1</v>
      </c>
    </row>
    <row r="41" spans="1:6" x14ac:dyDescent="0.15">
      <c r="A41" s="17">
        <f>Feuil1!E35</f>
        <v>6.6081898527823646E-2</v>
      </c>
      <c r="B41" s="17">
        <f>Feuil1!E23</f>
        <v>1.004447200813084</v>
      </c>
      <c r="C41" s="17">
        <v>1</v>
      </c>
      <c r="D41" s="17">
        <f>Feuil1!$P11</f>
        <v>-1.2370000000000001E-2</v>
      </c>
      <c r="E41" s="17">
        <f>Feuil1!$O11</f>
        <v>1.197E-2</v>
      </c>
      <c r="F41" s="17">
        <f>Feuil1!$E$25</f>
        <v>-1</v>
      </c>
    </row>
    <row r="42" spans="1:6" x14ac:dyDescent="0.15">
      <c r="A42" s="17">
        <f>Feuil1!F26</f>
        <v>5.8626179954556212E-3</v>
      </c>
      <c r="B42" s="17">
        <f>Feuil1!F14</f>
        <v>0.9762901962024455</v>
      </c>
      <c r="C42" s="17">
        <v>1.9230769230769232E-2</v>
      </c>
      <c r="D42" s="17">
        <f>Feuil1!$P2</f>
        <v>-1.298E-2</v>
      </c>
      <c r="E42" s="17">
        <f>Feuil1!$O2</f>
        <v>7.0699999999999999E-3</v>
      </c>
      <c r="F42" s="17">
        <f>Feuil1!$F$25</f>
        <v>-1</v>
      </c>
    </row>
    <row r="43" spans="1:6" x14ac:dyDescent="0.15">
      <c r="A43" s="17">
        <f>Feuil1!F27</f>
        <v>8.258078670858926E-3</v>
      </c>
      <c r="B43" s="17">
        <f>Feuil1!F15</f>
        <v>0.97741522312006324</v>
      </c>
      <c r="C43" s="17">
        <v>3.8461538461538464E-2</v>
      </c>
      <c r="D43" s="17">
        <f>Feuil1!$P3</f>
        <v>-1.453E-2</v>
      </c>
      <c r="E43" s="17">
        <f>Feuil1!$O3</f>
        <v>5.8399999999999997E-3</v>
      </c>
      <c r="F43" s="17">
        <f>Feuil1!$F$25</f>
        <v>-1</v>
      </c>
    </row>
    <row r="44" spans="1:6" x14ac:dyDescent="0.15">
      <c r="A44" s="17">
        <f>Feuil1!F28</f>
        <v>1.0568878162298456E-2</v>
      </c>
      <c r="B44" s="17">
        <f>Feuil1!F16</f>
        <v>0.97849821684960114</v>
      </c>
      <c r="C44" s="17">
        <v>5.7692307692307696E-2</v>
      </c>
      <c r="D44" s="17">
        <f>Feuil1!$P4</f>
        <v>-1.332E-2</v>
      </c>
      <c r="E44" s="17">
        <f>Feuil1!$O4</f>
        <v>7.1199999999999996E-3</v>
      </c>
      <c r="F44" s="17">
        <f>Feuil1!$F$25</f>
        <v>-1</v>
      </c>
    </row>
    <row r="45" spans="1:6" x14ac:dyDescent="0.15">
      <c r="A45" s="17">
        <f>Feuil1!F29</f>
        <v>1.3234018892958055E-2</v>
      </c>
      <c r="B45" s="17">
        <f>Feuil1!F17</f>
        <v>0.9796539405202459</v>
      </c>
      <c r="C45" s="17">
        <v>8.3333333333333329E-2</v>
      </c>
      <c r="D45" s="17">
        <f>Feuil1!$P5</f>
        <v>-1.225E-2</v>
      </c>
      <c r="E45" s="17">
        <f>Feuil1!$O5</f>
        <v>8.6700000000000006E-3</v>
      </c>
      <c r="F45" s="17">
        <f>Feuil1!$F$25</f>
        <v>-1</v>
      </c>
    </row>
    <row r="46" spans="1:6" x14ac:dyDescent="0.15">
      <c r="A46" s="17">
        <f>Feuil1!F30</f>
        <v>1.7820589648932406E-2</v>
      </c>
      <c r="B46" s="17">
        <f>Feuil1!F18</f>
        <v>0.98061957520966903</v>
      </c>
      <c r="C46" s="17">
        <v>0.16666666666666666</v>
      </c>
      <c r="D46" s="17">
        <f>Feuil1!$P6</f>
        <v>-1.2749999999999999E-2</v>
      </c>
      <c r="E46" s="17">
        <f>Feuil1!$O6</f>
        <v>1.0019999999999999E-2</v>
      </c>
      <c r="F46" s="17">
        <f>Feuil1!$F$25</f>
        <v>-1</v>
      </c>
    </row>
    <row r="47" spans="1:6" x14ac:dyDescent="0.15">
      <c r="A47" s="17">
        <f>Feuil1!F31</f>
        <v>2.2005225779512028E-2</v>
      </c>
      <c r="B47" s="17">
        <f>Feuil1!F19</f>
        <v>0.98152346564058313</v>
      </c>
      <c r="C47" s="17">
        <v>0.25</v>
      </c>
      <c r="D47" s="17">
        <f>Feuil1!$P7</f>
        <v>-1.247E-2</v>
      </c>
      <c r="E47" s="17">
        <f>Feuil1!$O7</f>
        <v>1.023E-2</v>
      </c>
      <c r="F47" s="17">
        <f>Feuil1!$F$25</f>
        <v>-1</v>
      </c>
    </row>
    <row r="48" spans="1:6" x14ac:dyDescent="0.15">
      <c r="A48" s="17">
        <f>Feuil1!F32</f>
        <v>2.6085329097771282E-2</v>
      </c>
      <c r="B48" s="17">
        <f>Feuil1!F20</f>
        <v>0.98241516661036976</v>
      </c>
      <c r="C48" s="17">
        <v>0.33333333333333331</v>
      </c>
      <c r="D48" s="17">
        <f>Feuil1!$P8</f>
        <v>-1.1939999999999999E-2</v>
      </c>
      <c r="E48" s="17">
        <f>Feuil1!$O8</f>
        <v>1.065E-2</v>
      </c>
      <c r="F48" s="17">
        <f>Feuil1!$F$25</f>
        <v>-1</v>
      </c>
    </row>
    <row r="49" spans="1:6" x14ac:dyDescent="0.15">
      <c r="A49" s="17">
        <f>Feuil1!F33</f>
        <v>3.2652230527760895E-2</v>
      </c>
      <c r="B49" s="17">
        <f>Feuil1!F21</f>
        <v>0.98278328165486051</v>
      </c>
      <c r="C49" s="17">
        <v>0.5</v>
      </c>
      <c r="D49" s="17">
        <f>Feuil1!$P9</f>
        <v>-1.2200000000000001E-2</v>
      </c>
      <c r="E49" s="17">
        <f>Feuil1!$O9</f>
        <v>1.116E-2</v>
      </c>
      <c r="F49" s="17">
        <f>Feuil1!$F$25</f>
        <v>-1</v>
      </c>
    </row>
    <row r="50" spans="1:6" x14ac:dyDescent="0.15">
      <c r="A50" s="17">
        <f>Feuil1!F34</f>
        <v>4.0686930958894307E-2</v>
      </c>
      <c r="B50" s="17">
        <f>Feuil1!F22</f>
        <v>0.98209347869570862</v>
      </c>
      <c r="C50" s="17">
        <v>0.75</v>
      </c>
      <c r="D50" s="17">
        <f>Feuil1!$P10</f>
        <v>-1.242E-2</v>
      </c>
      <c r="E50" s="17">
        <f>Feuil1!$O10</f>
        <v>1.166E-2</v>
      </c>
      <c r="F50" s="17">
        <f>Feuil1!$F$25</f>
        <v>-1</v>
      </c>
    </row>
    <row r="51" spans="1:6" x14ac:dyDescent="0.15">
      <c r="A51" s="17">
        <f>Feuil1!F35</f>
        <v>4.8838543883069407E-2</v>
      </c>
      <c r="B51" s="17">
        <f>Feuil1!F23</f>
        <v>0.98170445740804668</v>
      </c>
      <c r="C51" s="17">
        <v>1</v>
      </c>
      <c r="D51" s="17">
        <f>Feuil1!$P11</f>
        <v>-1.2370000000000001E-2</v>
      </c>
      <c r="E51" s="17">
        <f>Feuil1!$O11</f>
        <v>1.197E-2</v>
      </c>
      <c r="F51" s="17">
        <f>Feuil1!$F$25</f>
        <v>-1</v>
      </c>
    </row>
    <row r="52" spans="1:6" x14ac:dyDescent="0.15">
      <c r="A52" s="17">
        <f>Feuil1!G26</f>
        <v>3.7551250360313704E-3</v>
      </c>
      <c r="B52" s="17">
        <f>Feuil1!G14</f>
        <v>0.97267262168030033</v>
      </c>
      <c r="C52" s="17">
        <v>1.9230769230769232E-2</v>
      </c>
      <c r="D52" s="17">
        <f>Feuil1!$P2</f>
        <v>-1.298E-2</v>
      </c>
      <c r="E52" s="17">
        <f>Feuil1!$O2</f>
        <v>7.0699999999999999E-3</v>
      </c>
      <c r="F52" s="17">
        <f>Feuil1!$G$25</f>
        <v>1</v>
      </c>
    </row>
    <row r="53" spans="1:6" x14ac:dyDescent="0.15">
      <c r="A53" s="17">
        <f>Feuil1!G27</f>
        <v>5.2765639638343576E-3</v>
      </c>
      <c r="B53" s="17">
        <f>Feuil1!G15</f>
        <v>0.97233323329132582</v>
      </c>
      <c r="C53" s="17">
        <v>3.8461538461538464E-2</v>
      </c>
      <c r="D53" s="17">
        <f>Feuil1!$P3</f>
        <v>-1.453E-2</v>
      </c>
      <c r="E53" s="17">
        <f>Feuil1!$O3</f>
        <v>5.8399999999999997E-3</v>
      </c>
      <c r="F53" s="17">
        <f>Feuil1!$G$25</f>
        <v>1</v>
      </c>
    </row>
    <row r="54" spans="1:6" x14ac:dyDescent="0.15">
      <c r="A54" s="17">
        <f>Feuil1!G28</f>
        <v>6.7040565177738376E-3</v>
      </c>
      <c r="B54" s="17">
        <f>Feuil1!G16</f>
        <v>0.97201049533860739</v>
      </c>
      <c r="C54" s="17">
        <v>5.7692307692307696E-2</v>
      </c>
      <c r="D54" s="17">
        <f>Feuil1!$P4</f>
        <v>-1.332E-2</v>
      </c>
      <c r="E54" s="17">
        <f>Feuil1!$O4</f>
        <v>7.1199999999999996E-3</v>
      </c>
      <c r="F54" s="17">
        <f>Feuil1!$G$25</f>
        <v>1</v>
      </c>
    </row>
    <row r="55" spans="1:6" x14ac:dyDescent="0.15">
      <c r="A55" s="17">
        <f>Feuil1!G29</f>
        <v>8.3239682750727573E-3</v>
      </c>
      <c r="B55" s="17">
        <f>Feuil1!G17</f>
        <v>0.97155472231840845</v>
      </c>
      <c r="C55" s="17">
        <v>8.3333333333333329E-2</v>
      </c>
      <c r="D55" s="17">
        <f>Feuil1!$P5</f>
        <v>-1.225E-2</v>
      </c>
      <c r="E55" s="17">
        <f>Feuil1!$O5</f>
        <v>8.6700000000000006E-3</v>
      </c>
      <c r="F55" s="17">
        <f>Feuil1!$G$25</f>
        <v>1</v>
      </c>
    </row>
    <row r="56" spans="1:6" x14ac:dyDescent="0.15">
      <c r="A56" s="17">
        <f>Feuil1!G30</f>
        <v>1.108205688268904E-2</v>
      </c>
      <c r="B56" s="17">
        <f>Feuil1!G18</f>
        <v>0.96978694465119786</v>
      </c>
      <c r="C56" s="17">
        <v>0.16666666666666666</v>
      </c>
      <c r="D56" s="17">
        <f>Feuil1!$P6</f>
        <v>-1.2749999999999999E-2</v>
      </c>
      <c r="E56" s="17">
        <f>Feuil1!$O6</f>
        <v>1.0019999999999999E-2</v>
      </c>
      <c r="F56" s="17">
        <f>Feuil1!$G$25</f>
        <v>1</v>
      </c>
    </row>
    <row r="57" spans="1:6" x14ac:dyDescent="0.15">
      <c r="A57" s="17">
        <f>Feuil1!G31</f>
        <v>1.3536926934717475E-2</v>
      </c>
      <c r="B57" s="17">
        <f>Feuil1!G19</f>
        <v>0.96822860052502679</v>
      </c>
      <c r="C57" s="17">
        <v>0.25</v>
      </c>
      <c r="D57" s="17">
        <f>Feuil1!$P7</f>
        <v>-1.247E-2</v>
      </c>
      <c r="E57" s="17">
        <f>Feuil1!$O7</f>
        <v>1.023E-2</v>
      </c>
      <c r="F57" s="17">
        <f>Feuil1!$G$25</f>
        <v>1</v>
      </c>
    </row>
    <row r="58" spans="1:6" x14ac:dyDescent="0.15">
      <c r="A58" s="17">
        <f>Feuil1!G32</f>
        <v>1.5865022282389618E-2</v>
      </c>
      <c r="B58" s="17">
        <f>Feuil1!G20</f>
        <v>0.96674871637942439</v>
      </c>
      <c r="C58" s="17">
        <v>0.33333333333333331</v>
      </c>
      <c r="D58" s="17">
        <f>Feuil1!$P8</f>
        <v>-1.1939999999999999E-2</v>
      </c>
      <c r="E58" s="17">
        <f>Feuil1!$O8</f>
        <v>1.065E-2</v>
      </c>
      <c r="F58" s="17">
        <f>Feuil1!$G$25</f>
        <v>1</v>
      </c>
    </row>
    <row r="59" spans="1:6" x14ac:dyDescent="0.15">
      <c r="A59" s="17">
        <f>Feuil1!G33</f>
        <v>1.9476369768087753E-2</v>
      </c>
      <c r="B59" s="17">
        <f>Feuil1!G21</f>
        <v>0.96338500999888288</v>
      </c>
      <c r="C59" s="17">
        <v>0.5</v>
      </c>
      <c r="D59" s="17">
        <f>Feuil1!$P9</f>
        <v>-1.2200000000000001E-2</v>
      </c>
      <c r="E59" s="17">
        <f>Feuil1!$O9</f>
        <v>1.116E-2</v>
      </c>
      <c r="F59" s="17">
        <f>Feuil1!$G$25</f>
        <v>1</v>
      </c>
    </row>
    <row r="60" spans="1:6" x14ac:dyDescent="0.15">
      <c r="A60" s="17">
        <f>Feuil1!G34</f>
        <v>2.368327025069189E-2</v>
      </c>
      <c r="B60" s="17">
        <f>Feuil1!G22</f>
        <v>0.95828152148823276</v>
      </c>
      <c r="C60" s="17">
        <v>0.75</v>
      </c>
      <c r="D60" s="17">
        <f>Feuil1!$P10</f>
        <v>-1.242E-2</v>
      </c>
      <c r="E60" s="17">
        <f>Feuil1!$O10</f>
        <v>1.166E-2</v>
      </c>
      <c r="F60" s="17">
        <f>Feuil1!$G$25</f>
        <v>1</v>
      </c>
    </row>
    <row r="61" spans="1:6" x14ac:dyDescent="0.15">
      <c r="A61" s="17">
        <f>Feuil1!G35</f>
        <v>2.7737093571101989E-2</v>
      </c>
      <c r="B61" s="17">
        <f>Feuil1!G23</f>
        <v>0.9535394870653181</v>
      </c>
      <c r="C61" s="17">
        <v>1</v>
      </c>
      <c r="D61" s="17">
        <f>Feuil1!$P11</f>
        <v>-1.2370000000000001E-2</v>
      </c>
      <c r="E61" s="17">
        <f>Feuil1!$O11</f>
        <v>1.197E-2</v>
      </c>
      <c r="F61" s="17">
        <f>Feuil1!$G$25</f>
        <v>1</v>
      </c>
    </row>
    <row r="62" spans="1:6" x14ac:dyDescent="0.15">
      <c r="A62" s="17">
        <f>Feuil1!H26</f>
        <v>6.0110539398011698E-3</v>
      </c>
      <c r="B62" s="17">
        <f>Feuil1!H14</f>
        <v>0.96892357526984352</v>
      </c>
      <c r="C62" s="17">
        <v>1.9230769230769232E-2</v>
      </c>
      <c r="D62" s="17">
        <f>Feuil1!$P2</f>
        <v>-1.298E-2</v>
      </c>
      <c r="E62" s="17">
        <f>Feuil1!$O2</f>
        <v>7.0699999999999999E-3</v>
      </c>
      <c r="F62" s="17">
        <f>Feuil1!$H$25</f>
        <v>1</v>
      </c>
    </row>
    <row r="63" spans="1:6" x14ac:dyDescent="0.15">
      <c r="A63" s="17">
        <f>Feuil1!H27</f>
        <v>8.4885814845447882E-3</v>
      </c>
      <c r="B63" s="17">
        <f>Feuil1!H15</f>
        <v>0.96702928117007625</v>
      </c>
      <c r="C63" s="17">
        <v>3.8461538461538464E-2</v>
      </c>
      <c r="D63" s="17">
        <f>Feuil1!$P3</f>
        <v>-1.453E-2</v>
      </c>
      <c r="E63" s="17">
        <f>Feuil1!$O3</f>
        <v>5.8399999999999997E-3</v>
      </c>
      <c r="F63" s="17">
        <f>Feuil1!$H$25</f>
        <v>1</v>
      </c>
    </row>
    <row r="64" spans="1:6" x14ac:dyDescent="0.15">
      <c r="A64" s="17">
        <f>Feuil1!H28</f>
        <v>1.0749091725985149E-2</v>
      </c>
      <c r="B64" s="17">
        <f>Feuil1!H16</f>
        <v>0.96527715116369761</v>
      </c>
      <c r="C64" s="17">
        <v>5.7692307692307696E-2</v>
      </c>
      <c r="D64" s="17">
        <f>Feuil1!$P4</f>
        <v>-1.332E-2</v>
      </c>
      <c r="E64" s="17">
        <f>Feuil1!$O4</f>
        <v>7.1199999999999996E-3</v>
      </c>
      <c r="F64" s="17">
        <f>Feuil1!$H$25</f>
        <v>1</v>
      </c>
    </row>
    <row r="65" spans="1:6" x14ac:dyDescent="0.15">
      <c r="A65" s="17">
        <f>Feuil1!H29</f>
        <v>1.3346748412020992E-2</v>
      </c>
      <c r="B65" s="17">
        <f>Feuil1!H17</f>
        <v>0.9631670700484628</v>
      </c>
      <c r="C65" s="17">
        <v>8.3333333333333329E-2</v>
      </c>
      <c r="D65" s="17">
        <f>Feuil1!$P5</f>
        <v>-1.225E-2</v>
      </c>
      <c r="E65" s="17">
        <f>Feuil1!$O5</f>
        <v>8.6700000000000006E-3</v>
      </c>
      <c r="F65" s="17">
        <f>Feuil1!$H$25</f>
        <v>1</v>
      </c>
    </row>
    <row r="66" spans="1:6" x14ac:dyDescent="0.15">
      <c r="A66" s="17">
        <f>Feuil1!H30</f>
        <v>1.7868585797471637E-2</v>
      </c>
      <c r="B66" s="17">
        <f>Feuil1!H18</f>
        <v>0.9584838607868883</v>
      </c>
      <c r="C66" s="17">
        <v>0.16666666666666666</v>
      </c>
      <c r="D66" s="17">
        <f>Feuil1!$P6</f>
        <v>-1.2749999999999999E-2</v>
      </c>
      <c r="E66" s="17">
        <f>Feuil1!$O6</f>
        <v>1.0019999999999999E-2</v>
      </c>
      <c r="F66" s="17">
        <f>Feuil1!$H$25</f>
        <v>1</v>
      </c>
    </row>
    <row r="67" spans="1:6" x14ac:dyDescent="0.15">
      <c r="A67" s="17">
        <f>Feuil1!H31</f>
        <v>2.1937011845285515E-2</v>
      </c>
      <c r="B67" s="17">
        <f>Feuil1!H19</f>
        <v>0.95426910302592938</v>
      </c>
      <c r="C67" s="17">
        <v>0.25</v>
      </c>
      <c r="D67" s="17">
        <f>Feuil1!$P7</f>
        <v>-1.247E-2</v>
      </c>
      <c r="E67" s="17">
        <f>Feuil1!$O7</f>
        <v>1.023E-2</v>
      </c>
      <c r="F67" s="17">
        <f>Feuil1!$H$25</f>
        <v>1</v>
      </c>
    </row>
    <row r="68" spans="1:6" x14ac:dyDescent="0.15">
      <c r="A68" s="17">
        <f>Feuil1!H32</f>
        <v>2.5761840754434884E-2</v>
      </c>
      <c r="B68" s="17">
        <f>Feuil1!H20</f>
        <v>0.95024571375793465</v>
      </c>
      <c r="C68" s="17">
        <v>0.33333333333333331</v>
      </c>
      <c r="D68" s="17">
        <f>Feuil1!$P8</f>
        <v>-1.1939999999999999E-2</v>
      </c>
      <c r="E68" s="17">
        <f>Feuil1!$O8</f>
        <v>1.065E-2</v>
      </c>
      <c r="F68" s="17">
        <f>Feuil1!$H$25</f>
        <v>1</v>
      </c>
    </row>
    <row r="69" spans="1:6" x14ac:dyDescent="0.15">
      <c r="A69" s="17">
        <f>Feuil1!H33</f>
        <v>3.1778846100380842E-2</v>
      </c>
      <c r="B69" s="17">
        <f>Feuil1!H21</f>
        <v>0.94278602079920748</v>
      </c>
      <c r="C69" s="17">
        <v>0.5</v>
      </c>
      <c r="D69" s="17">
        <f>Feuil1!$P9</f>
        <v>-1.2200000000000001E-2</v>
      </c>
      <c r="E69" s="17">
        <f>Feuil1!$O9</f>
        <v>1.116E-2</v>
      </c>
      <c r="F69" s="17">
        <f>Feuil1!$H$25</f>
        <v>1</v>
      </c>
    </row>
    <row r="70" spans="1:6" x14ac:dyDescent="0.15">
      <c r="A70" s="17">
        <f>Feuil1!H34</f>
        <v>3.8922290177074381E-2</v>
      </c>
      <c r="B70" s="17">
        <f>Feuil1!H22</f>
        <v>0.93262802001570644</v>
      </c>
      <c r="C70" s="17">
        <v>0.75</v>
      </c>
      <c r="D70" s="17">
        <f>Feuil1!$P10</f>
        <v>-1.242E-2</v>
      </c>
      <c r="E70" s="17">
        <f>Feuil1!$O10</f>
        <v>1.166E-2</v>
      </c>
      <c r="F70" s="17">
        <f>Feuil1!$H$25</f>
        <v>1</v>
      </c>
    </row>
    <row r="71" spans="1:6" x14ac:dyDescent="0.15">
      <c r="A71" s="17">
        <f>Feuil1!H35</f>
        <v>4.5967581113765865E-2</v>
      </c>
      <c r="B71" s="17">
        <f>Feuil1!H23</f>
        <v>0.92273295613946327</v>
      </c>
      <c r="C71" s="17">
        <v>1</v>
      </c>
      <c r="D71" s="17">
        <f>Feuil1!$P11</f>
        <v>-1.2370000000000001E-2</v>
      </c>
      <c r="E71" s="17">
        <f>Feuil1!$O11</f>
        <v>1.197E-2</v>
      </c>
      <c r="F71" s="17">
        <f>Feuil1!$H$25</f>
        <v>1</v>
      </c>
    </row>
    <row r="72" spans="1:6" x14ac:dyDescent="0.15">
      <c r="A72" s="17">
        <f>Feuil1!I26</f>
        <v>8.2239172447332587E-3</v>
      </c>
      <c r="B72" s="17">
        <f>Feuil1!I14</f>
        <v>0.96591156777051423</v>
      </c>
      <c r="C72" s="17">
        <v>1.9230769230769232E-2</v>
      </c>
      <c r="D72" s="17">
        <f>Feuil1!$P2</f>
        <v>-1.298E-2</v>
      </c>
      <c r="E72" s="17">
        <f>Feuil1!$O2</f>
        <v>7.0699999999999999E-3</v>
      </c>
      <c r="F72" s="17">
        <f>Feuil1!$I$25</f>
        <v>1</v>
      </c>
    </row>
    <row r="73" spans="1:6" x14ac:dyDescent="0.15">
      <c r="A73" s="17">
        <f>Feuil1!I27</f>
        <v>1.1669198287936999E-2</v>
      </c>
      <c r="B73" s="17">
        <f>Feuil1!I15</f>
        <v>0.96272691031617674</v>
      </c>
      <c r="C73" s="17">
        <v>3.8461538461538464E-2</v>
      </c>
      <c r="D73" s="17">
        <f>Feuil1!$P3</f>
        <v>-1.453E-2</v>
      </c>
      <c r="E73" s="17">
        <f>Feuil1!$O3</f>
        <v>5.8399999999999997E-3</v>
      </c>
      <c r="F73" s="17">
        <f>Feuil1!$I$25</f>
        <v>1</v>
      </c>
    </row>
    <row r="74" spans="1:6" x14ac:dyDescent="0.15">
      <c r="A74" s="17">
        <f>Feuil1!I28</f>
        <v>1.4726906742507428E-2</v>
      </c>
      <c r="B74" s="17">
        <f>Feuil1!I16</f>
        <v>0.95986523501890053</v>
      </c>
      <c r="C74" s="17">
        <v>5.7692307692307696E-2</v>
      </c>
      <c r="D74" s="17">
        <f>Feuil1!$P4</f>
        <v>-1.332E-2</v>
      </c>
      <c r="E74" s="17">
        <f>Feuil1!$O4</f>
        <v>7.1199999999999996E-3</v>
      </c>
      <c r="F74" s="17">
        <f>Feuil1!$I$25</f>
        <v>1</v>
      </c>
    </row>
    <row r="75" spans="1:6" x14ac:dyDescent="0.15">
      <c r="A75" s="17">
        <f>Feuil1!I29</f>
        <v>1.8286070445124536E-2</v>
      </c>
      <c r="B75" s="17">
        <f>Feuil1!I17</f>
        <v>0.95644162932464094</v>
      </c>
      <c r="C75" s="17">
        <v>8.3333333333333329E-2</v>
      </c>
      <c r="D75" s="17">
        <f>Feuil1!$P5</f>
        <v>-1.225E-2</v>
      </c>
      <c r="E75" s="17">
        <f>Feuil1!$O5</f>
        <v>8.6700000000000006E-3</v>
      </c>
      <c r="F75" s="17">
        <f>Feuil1!$I$25</f>
        <v>1</v>
      </c>
    </row>
    <row r="76" spans="1:6" x14ac:dyDescent="0.15">
      <c r="A76" s="17">
        <f>Feuil1!I30</f>
        <v>2.4602566865178366E-2</v>
      </c>
      <c r="B76" s="17">
        <f>Feuil1!I18</f>
        <v>0.94937858578737233</v>
      </c>
      <c r="C76" s="17">
        <v>0.16666666666666666</v>
      </c>
      <c r="D76" s="17">
        <f>Feuil1!$P6</f>
        <v>-1.2749999999999999E-2</v>
      </c>
      <c r="E76" s="17">
        <f>Feuil1!$O6</f>
        <v>1.0019999999999999E-2</v>
      </c>
      <c r="F76" s="17">
        <f>Feuil1!$I$25</f>
        <v>1</v>
      </c>
    </row>
    <row r="77" spans="1:6" x14ac:dyDescent="0.15">
      <c r="A77" s="17">
        <f>Feuil1!I31</f>
        <v>3.0312459313023399E-2</v>
      </c>
      <c r="B77" s="17">
        <f>Feuil1!I19</f>
        <v>0.94300061552198911</v>
      </c>
      <c r="C77" s="17">
        <v>0.25</v>
      </c>
      <c r="D77" s="17">
        <f>Feuil1!$P7</f>
        <v>-1.247E-2</v>
      </c>
      <c r="E77" s="17">
        <f>Feuil1!$O7</f>
        <v>1.023E-2</v>
      </c>
      <c r="F77" s="17">
        <f>Feuil1!$I$25</f>
        <v>1</v>
      </c>
    </row>
    <row r="78" spans="1:6" x14ac:dyDescent="0.15">
      <c r="A78" s="17">
        <f>Feuil1!I32</f>
        <v>3.5567846813391646E-2</v>
      </c>
      <c r="B78" s="17">
        <f>Feuil1!I20</f>
        <v>0.9370331689666016</v>
      </c>
      <c r="C78" s="17">
        <v>0.33333333333333331</v>
      </c>
      <c r="D78" s="17">
        <f>Feuil1!$P8</f>
        <v>-1.1939999999999999E-2</v>
      </c>
      <c r="E78" s="17">
        <f>Feuil1!$O8</f>
        <v>1.065E-2</v>
      </c>
      <c r="F78" s="17">
        <f>Feuil1!$I$25</f>
        <v>1</v>
      </c>
    </row>
    <row r="79" spans="1:6" x14ac:dyDescent="0.15">
      <c r="A79" s="17">
        <f>Feuil1!I33</f>
        <v>4.3876116510544461E-2</v>
      </c>
      <c r="B79" s="17">
        <f>Feuil1!I21</f>
        <v>0.92649907124544895</v>
      </c>
      <c r="C79" s="17">
        <v>0.5</v>
      </c>
      <c r="D79" s="17">
        <f>Feuil1!$P9</f>
        <v>-1.2200000000000001E-2</v>
      </c>
      <c r="E79" s="17">
        <f>Feuil1!$O9</f>
        <v>1.116E-2</v>
      </c>
      <c r="F79" s="17">
        <f>Feuil1!$I$25</f>
        <v>1</v>
      </c>
    </row>
    <row r="80" spans="1:6" x14ac:dyDescent="0.15">
      <c r="A80" s="17">
        <f>Feuil1!I34</f>
        <v>5.371369343296184E-2</v>
      </c>
      <c r="B80" s="17">
        <f>Feuil1!I22</f>
        <v>0.91274309848513013</v>
      </c>
      <c r="C80" s="17">
        <v>0.75</v>
      </c>
      <c r="D80" s="17">
        <f>Feuil1!$P10</f>
        <v>-1.242E-2</v>
      </c>
      <c r="E80" s="17">
        <f>Feuil1!$O10</f>
        <v>1.166E-2</v>
      </c>
      <c r="F80" s="17">
        <f>Feuil1!$I$25</f>
        <v>1</v>
      </c>
    </row>
    <row r="81" spans="1:6" x14ac:dyDescent="0.15">
      <c r="A81" s="17">
        <f>Feuil1!I35</f>
        <v>6.3517318689882418E-2</v>
      </c>
      <c r="B81" s="17">
        <f>Feuil1!I23</f>
        <v>0.89923527994275188</v>
      </c>
      <c r="C81" s="17">
        <v>1</v>
      </c>
      <c r="D81" s="17">
        <f>Feuil1!$P11</f>
        <v>-1.2370000000000001E-2</v>
      </c>
      <c r="E81" s="17">
        <f>Feuil1!$O11</f>
        <v>1.197E-2</v>
      </c>
      <c r="F81" s="17">
        <f>Feuil1!$I$25</f>
        <v>1</v>
      </c>
    </row>
    <row r="82" spans="1:6" x14ac:dyDescent="0.15">
      <c r="A82" s="17">
        <f>Feuil1!J26</f>
        <v>1.1642667308806587E-2</v>
      </c>
      <c r="B82" s="17">
        <f>Feuil1!J14</f>
        <v>0.96180857856298063</v>
      </c>
      <c r="C82" s="17">
        <v>1.9230769230769232E-2</v>
      </c>
      <c r="D82" s="17">
        <f>Feuil1!$P2</f>
        <v>-1.298E-2</v>
      </c>
      <c r="E82" s="17">
        <f>Feuil1!$O2</f>
        <v>7.0699999999999999E-3</v>
      </c>
      <c r="F82" s="17">
        <f>Feuil1!$J$25</f>
        <v>1</v>
      </c>
    </row>
    <row r="83" spans="1:6" x14ac:dyDescent="0.15">
      <c r="A83" s="17">
        <f>Feuil1!J27</f>
        <v>1.6594946321786597E-2</v>
      </c>
      <c r="B83" s="17">
        <f>Feuil1!J15</f>
        <v>0.95683285200823165</v>
      </c>
      <c r="C83" s="17">
        <v>3.8461538461538464E-2</v>
      </c>
      <c r="D83" s="17">
        <f>Feuil1!$P3</f>
        <v>-1.453E-2</v>
      </c>
      <c r="E83" s="17">
        <f>Feuil1!$O3</f>
        <v>5.8399999999999997E-3</v>
      </c>
      <c r="F83" s="17">
        <f>Feuil1!$J$25</f>
        <v>1</v>
      </c>
    </row>
    <row r="84" spans="1:6" x14ac:dyDescent="0.15">
      <c r="A84" s="17">
        <f>Feuil1!J28</f>
        <v>2.0822824573534127E-2</v>
      </c>
      <c r="B84" s="17">
        <f>Feuil1!J16</f>
        <v>0.9525349869872215</v>
      </c>
      <c r="C84" s="17">
        <v>5.7692307692307696E-2</v>
      </c>
      <c r="D84" s="17">
        <f>Feuil1!$P4</f>
        <v>-1.332E-2</v>
      </c>
      <c r="E84" s="17">
        <f>Feuil1!$O4</f>
        <v>7.1199999999999996E-3</v>
      </c>
      <c r="F84" s="17">
        <f>Feuil1!$J$25</f>
        <v>1</v>
      </c>
    </row>
    <row r="85" spans="1:6" x14ac:dyDescent="0.15">
      <c r="A85" s="17">
        <f>Feuil1!J29</f>
        <v>2.5971025509374579E-2</v>
      </c>
      <c r="B85" s="17">
        <f>Feuil1!J17</f>
        <v>0.9472281045815949</v>
      </c>
      <c r="C85" s="17">
        <v>8.3333333333333329E-2</v>
      </c>
      <c r="D85" s="17">
        <f>Feuil1!$P5</f>
        <v>-1.225E-2</v>
      </c>
      <c r="E85" s="17">
        <f>Feuil1!$O5</f>
        <v>8.6700000000000006E-3</v>
      </c>
      <c r="F85" s="17">
        <f>Feuil1!$J$25</f>
        <v>1</v>
      </c>
    </row>
    <row r="86" spans="1:6" x14ac:dyDescent="0.15">
      <c r="A86" s="17">
        <f>Feuil1!J30</f>
        <v>3.5142272492544535E-2</v>
      </c>
      <c r="B86" s="17">
        <f>Feuil1!J18</f>
        <v>0.93679701954919936</v>
      </c>
      <c r="C86" s="17">
        <v>0.16666666666666666</v>
      </c>
      <c r="D86" s="17">
        <f>Feuil1!$P6</f>
        <v>-1.2749999999999999E-2</v>
      </c>
      <c r="E86" s="17">
        <f>Feuil1!$O6</f>
        <v>1.0019999999999999E-2</v>
      </c>
      <c r="F86" s="17">
        <f>Feuil1!$J$25</f>
        <v>1</v>
      </c>
    </row>
    <row r="87" spans="1:6" x14ac:dyDescent="0.15">
      <c r="A87" s="17">
        <f>Feuil1!J31</f>
        <v>4.3580886320725654E-2</v>
      </c>
      <c r="B87" s="17">
        <f>Feuil1!J19</f>
        <v>0.92723864130280687</v>
      </c>
      <c r="C87" s="17">
        <v>0.25</v>
      </c>
      <c r="D87" s="17">
        <f>Feuil1!$P7</f>
        <v>-1.247E-2</v>
      </c>
      <c r="E87" s="17">
        <f>Feuil1!$O7</f>
        <v>1.023E-2</v>
      </c>
      <c r="F87" s="17">
        <f>Feuil1!$J$25</f>
        <v>1</v>
      </c>
    </row>
    <row r="88" spans="1:6" x14ac:dyDescent="0.15">
      <c r="A88" s="17">
        <f>Feuil1!J32</f>
        <v>5.1105690124255809E-2</v>
      </c>
      <c r="B88" s="17">
        <f>Feuil1!J20</f>
        <v>0.91856713640193122</v>
      </c>
      <c r="C88" s="17">
        <v>0.33333333333333331</v>
      </c>
      <c r="D88" s="17">
        <f>Feuil1!$P8</f>
        <v>-1.1939999999999999E-2</v>
      </c>
      <c r="E88" s="17">
        <f>Feuil1!$O8</f>
        <v>1.065E-2</v>
      </c>
      <c r="F88" s="17">
        <f>Feuil1!$J$25</f>
        <v>1</v>
      </c>
    </row>
    <row r="89" spans="1:6" x14ac:dyDescent="0.15">
      <c r="A89" s="17">
        <f>Feuil1!J33</f>
        <v>6.3182874561013014E-2</v>
      </c>
      <c r="B89" s="17">
        <f>Feuil1!J21</f>
        <v>0.90361340600836793</v>
      </c>
      <c r="C89" s="17">
        <v>0.5</v>
      </c>
      <c r="D89" s="17">
        <f>Feuil1!$P9</f>
        <v>-1.2200000000000001E-2</v>
      </c>
      <c r="E89" s="17">
        <f>Feuil1!$O9</f>
        <v>1.116E-2</v>
      </c>
      <c r="F89" s="17">
        <f>Feuil1!$J$25</f>
        <v>1</v>
      </c>
    </row>
    <row r="90" spans="1:6" x14ac:dyDescent="0.15">
      <c r="A90" s="17">
        <f>Feuil1!J34</f>
        <v>7.7340713196852873E-2</v>
      </c>
      <c r="B90" s="17">
        <f>Feuil1!J22</f>
        <v>0.88479252636126493</v>
      </c>
      <c r="C90" s="17">
        <v>0.75</v>
      </c>
      <c r="D90" s="17">
        <f>Feuil1!$P10</f>
        <v>-1.242E-2</v>
      </c>
      <c r="E90" s="17">
        <f>Feuil1!$O10</f>
        <v>1.166E-2</v>
      </c>
      <c r="F90" s="17">
        <f>Feuil1!$J$25</f>
        <v>1</v>
      </c>
    </row>
    <row r="91" spans="1:6" x14ac:dyDescent="0.15">
      <c r="A91" s="17">
        <f>Feuil1!J35</f>
        <v>9.1704192607794277E-2</v>
      </c>
      <c r="B91" s="17">
        <f>Feuil1!J23</f>
        <v>0.86602391299459269</v>
      </c>
      <c r="C91" s="17">
        <v>1</v>
      </c>
      <c r="D91" s="17">
        <f>Feuil1!$P11</f>
        <v>-1.2370000000000001E-2</v>
      </c>
      <c r="E91" s="17">
        <f>Feuil1!$O11</f>
        <v>1.197E-2</v>
      </c>
      <c r="F91" s="17">
        <f>Feuil1!$J$25</f>
        <v>1</v>
      </c>
    </row>
    <row r="92" spans="1:6" x14ac:dyDescent="0.15">
      <c r="A92" s="17">
        <f>Feuil1!K26</f>
        <v>1.4320547042005805E-2</v>
      </c>
      <c r="B92" s="17">
        <f>Feuil1!K14</f>
        <v>0.95882589311641819</v>
      </c>
      <c r="C92" s="17">
        <v>1.9230769230769232E-2</v>
      </c>
      <c r="D92" s="17">
        <f>Feuil1!$P2</f>
        <v>-1.298E-2</v>
      </c>
      <c r="E92" s="17">
        <f>Feuil1!$O2</f>
        <v>7.0699999999999999E-3</v>
      </c>
      <c r="F92" s="17">
        <f>Feuil1!$K$25</f>
        <v>1</v>
      </c>
    </row>
    <row r="93" spans="1:6" x14ac:dyDescent="0.15">
      <c r="A93" s="17">
        <f>Feuil1!K27</f>
        <v>2.045992992118939E-2</v>
      </c>
      <c r="B93" s="17">
        <f>Feuil1!K15</f>
        <v>0.95253420320723525</v>
      </c>
      <c r="C93" s="17">
        <v>3.8461538461538464E-2</v>
      </c>
      <c r="D93" s="17">
        <f>Feuil1!$P3</f>
        <v>-1.453E-2</v>
      </c>
      <c r="E93" s="17">
        <f>Feuil1!$O3</f>
        <v>5.8399999999999997E-3</v>
      </c>
      <c r="F93" s="17">
        <f>Feuil1!$K$25</f>
        <v>1</v>
      </c>
    </row>
    <row r="94" spans="1:6" x14ac:dyDescent="0.15">
      <c r="A94" s="17">
        <f>Feuil1!K28</f>
        <v>2.55888502161572E-2</v>
      </c>
      <c r="B94" s="17">
        <f>Feuil1!K16</f>
        <v>0.94722034510625608</v>
      </c>
      <c r="C94" s="17">
        <v>5.7692307692307696E-2</v>
      </c>
      <c r="D94" s="17">
        <f>Feuil1!$P4</f>
        <v>-1.332E-2</v>
      </c>
      <c r="E94" s="17">
        <f>Feuil1!$O4</f>
        <v>7.1199999999999996E-3</v>
      </c>
      <c r="F94" s="17">
        <f>Feuil1!$K$25</f>
        <v>1</v>
      </c>
    </row>
    <row r="95" spans="1:6" x14ac:dyDescent="0.15">
      <c r="A95" s="17">
        <f>Feuil1!K29</f>
        <v>3.2002686102285516E-2</v>
      </c>
      <c r="B95" s="17">
        <f>Feuil1!K17</f>
        <v>0.94051368122476009</v>
      </c>
      <c r="C95" s="17">
        <v>8.3333333333333329E-2</v>
      </c>
      <c r="D95" s="17">
        <f>Feuil1!$P5</f>
        <v>-1.225E-2</v>
      </c>
      <c r="E95" s="17">
        <f>Feuil1!$O5</f>
        <v>8.6700000000000006E-3</v>
      </c>
      <c r="F95" s="17">
        <f>Feuil1!$K$25</f>
        <v>1</v>
      </c>
    </row>
    <row r="96" spans="1:6" x14ac:dyDescent="0.15">
      <c r="A96" s="17">
        <f>Feuil1!K30</f>
        <v>4.3462068490106032E-2</v>
      </c>
      <c r="B96" s="17">
        <f>Feuil1!K18</f>
        <v>0.92756191701531299</v>
      </c>
      <c r="C96" s="17">
        <v>0.16666666666666666</v>
      </c>
      <c r="D96" s="17">
        <f>Feuil1!$P6</f>
        <v>-1.2749999999999999E-2</v>
      </c>
      <c r="E96" s="17">
        <f>Feuil1!$O6</f>
        <v>1.0019999999999999E-2</v>
      </c>
      <c r="F96" s="17">
        <f>Feuil1!$K$25</f>
        <v>1</v>
      </c>
    </row>
    <row r="97" spans="1:6" x14ac:dyDescent="0.15">
      <c r="A97" s="17">
        <f>Feuil1!K31</f>
        <v>5.4108685630393616E-2</v>
      </c>
      <c r="B97" s="17">
        <f>Feuil1!K19</f>
        <v>0.91558708295977342</v>
      </c>
      <c r="C97" s="17">
        <v>0.25</v>
      </c>
      <c r="D97" s="17">
        <f>Feuil1!$P7</f>
        <v>-1.247E-2</v>
      </c>
      <c r="E97" s="17">
        <f>Feuil1!$O7</f>
        <v>1.023E-2</v>
      </c>
      <c r="F97" s="17">
        <f>Feuil1!$K$25</f>
        <v>1</v>
      </c>
    </row>
    <row r="98" spans="1:6" x14ac:dyDescent="0.15">
      <c r="A98" s="17">
        <f>Feuil1!K32</f>
        <v>6.3434945988595781E-2</v>
      </c>
      <c r="B98" s="17">
        <f>Feuil1!K20</f>
        <v>0.90492222799631616</v>
      </c>
      <c r="C98" s="17">
        <v>0.33333333333333331</v>
      </c>
      <c r="D98" s="17">
        <f>Feuil1!$P8</f>
        <v>-1.1939999999999999E-2</v>
      </c>
      <c r="E98" s="17">
        <f>Feuil1!$O8</f>
        <v>1.065E-2</v>
      </c>
      <c r="F98" s="17">
        <f>Feuil1!$K$25</f>
        <v>1</v>
      </c>
    </row>
    <row r="99" spans="1:6" x14ac:dyDescent="0.15">
      <c r="A99" s="17">
        <f>Feuil1!K33</f>
        <v>7.8737080906072676E-2</v>
      </c>
      <c r="B99" s="17">
        <f>Feuil1!K21</f>
        <v>0.88646670594063948</v>
      </c>
      <c r="C99" s="17">
        <v>0.5</v>
      </c>
      <c r="D99" s="17">
        <f>Feuil1!$P9</f>
        <v>-1.2200000000000001E-2</v>
      </c>
      <c r="E99" s="17">
        <f>Feuil1!$O9</f>
        <v>1.116E-2</v>
      </c>
      <c r="F99" s="17">
        <f>Feuil1!$K$25</f>
        <v>1</v>
      </c>
    </row>
    <row r="100" spans="1:6" x14ac:dyDescent="0.15">
      <c r="A100" s="17">
        <f>Feuil1!K34</f>
        <v>9.6106740468616225E-2</v>
      </c>
      <c r="B100" s="17">
        <f>Feuil1!K22</f>
        <v>0.86410935977005454</v>
      </c>
      <c r="C100" s="17">
        <v>0.75</v>
      </c>
      <c r="D100" s="17">
        <f>Feuil1!$P10</f>
        <v>-1.242E-2</v>
      </c>
      <c r="E100" s="17">
        <f>Feuil1!$O10</f>
        <v>1.166E-2</v>
      </c>
      <c r="F100" s="17">
        <f>Feuil1!$K$25</f>
        <v>1</v>
      </c>
    </row>
    <row r="101" spans="1:6" x14ac:dyDescent="0.15">
      <c r="A101" s="17">
        <f>Feuil1!K35</f>
        <v>0.11423319489760519</v>
      </c>
      <c r="B101" s="17">
        <f>Feuil1!K23</f>
        <v>0.84128621993872055</v>
      </c>
      <c r="C101" s="17">
        <v>1</v>
      </c>
      <c r="D101" s="17">
        <f>Feuil1!$P11</f>
        <v>-1.2370000000000001E-2</v>
      </c>
      <c r="E101" s="17">
        <f>Feuil1!$O11</f>
        <v>1.197E-2</v>
      </c>
      <c r="F101" s="17">
        <f>Feuil1!$K$25</f>
        <v>1</v>
      </c>
    </row>
    <row r="102" spans="1:6" x14ac:dyDescent="0.15">
      <c r="A102" s="17">
        <f>Feuil1!L26</f>
        <v>1.874635516021872E-2</v>
      </c>
      <c r="B102" s="17">
        <f>Feuil1!L14</f>
        <v>0.95412236253652383</v>
      </c>
      <c r="C102" s="17">
        <v>1.9230769230769232E-2</v>
      </c>
      <c r="D102" s="17">
        <f>Feuil1!$P2</f>
        <v>-1.298E-2</v>
      </c>
      <c r="E102" s="17">
        <f>Feuil1!$O2</f>
        <v>7.0699999999999999E-3</v>
      </c>
      <c r="F102" s="17">
        <f>Feuil1!$L$25</f>
        <v>1</v>
      </c>
    </row>
    <row r="103" spans="1:6" x14ac:dyDescent="0.15">
      <c r="A103" s="17">
        <f>Feuil1!L27</f>
        <v>2.6892407875605095E-2</v>
      </c>
      <c r="B103" s="17">
        <f>Feuil1!L15</f>
        <v>0.945706136309856</v>
      </c>
      <c r="C103" s="17">
        <v>3.8461538461538464E-2</v>
      </c>
      <c r="D103" s="17">
        <f>Feuil1!$P3</f>
        <v>-1.453E-2</v>
      </c>
      <c r="E103" s="17">
        <f>Feuil1!$O3</f>
        <v>5.8399999999999997E-3</v>
      </c>
      <c r="F103" s="17">
        <f>Feuil1!$L$25</f>
        <v>1</v>
      </c>
    </row>
    <row r="104" spans="1:6" x14ac:dyDescent="0.15">
      <c r="A104" s="17">
        <f>Feuil1!L28</f>
        <v>3.3482569218436176E-2</v>
      </c>
      <c r="B104" s="17">
        <f>Feuil1!L16</f>
        <v>0.93882912818835584</v>
      </c>
      <c r="C104" s="17">
        <v>5.7692307692307696E-2</v>
      </c>
      <c r="D104" s="17">
        <f>Feuil1!$P4</f>
        <v>-1.332E-2</v>
      </c>
      <c r="E104" s="17">
        <f>Feuil1!$O4</f>
        <v>7.1199999999999996E-3</v>
      </c>
      <c r="F104" s="17">
        <f>Feuil1!$L$25</f>
        <v>1</v>
      </c>
    </row>
    <row r="105" spans="1:6" x14ac:dyDescent="0.15">
      <c r="A105" s="17">
        <f>Feuil1!L29</f>
        <v>4.2013792677387696E-2</v>
      </c>
      <c r="B105" s="17">
        <f>Feuil1!L17</f>
        <v>0.92988129751020909</v>
      </c>
      <c r="C105" s="17">
        <v>8.3333333333333329E-2</v>
      </c>
      <c r="D105" s="17">
        <f>Feuil1!$P5</f>
        <v>-1.225E-2</v>
      </c>
      <c r="E105" s="17">
        <f>Feuil1!$O5</f>
        <v>8.6700000000000006E-3</v>
      </c>
      <c r="F105" s="17">
        <f>Feuil1!$L$25</f>
        <v>1</v>
      </c>
    </row>
    <row r="106" spans="1:6" x14ac:dyDescent="0.15">
      <c r="A106" s="17">
        <f>Feuil1!L30</f>
        <v>5.736308242110999E-2</v>
      </c>
      <c r="B106" s="17">
        <f>Feuil1!L18</f>
        <v>0.91282936836489825</v>
      </c>
      <c r="C106" s="17">
        <v>0.16666666666666666</v>
      </c>
      <c r="D106" s="17">
        <f>Feuil1!$P6</f>
        <v>-1.2749999999999999E-2</v>
      </c>
      <c r="E106" s="17">
        <f>Feuil1!$O6</f>
        <v>1.0019999999999999E-2</v>
      </c>
      <c r="F106" s="17">
        <f>Feuil1!$L$25</f>
        <v>1</v>
      </c>
    </row>
    <row r="107" spans="1:6" x14ac:dyDescent="0.15">
      <c r="A107" s="17">
        <f>Feuil1!L31</f>
        <v>7.1812718951187793E-2</v>
      </c>
      <c r="B107" s="17">
        <f>Feuil1!L19</f>
        <v>0.89686287974953516</v>
      </c>
      <c r="C107" s="17">
        <v>0.25</v>
      </c>
      <c r="D107" s="17">
        <f>Feuil1!$P7</f>
        <v>-1.247E-2</v>
      </c>
      <c r="E107" s="17">
        <f>Feuil1!$O7</f>
        <v>1.023E-2</v>
      </c>
      <c r="F107" s="17">
        <f>Feuil1!$L$25</f>
        <v>1</v>
      </c>
    </row>
    <row r="108" spans="1:6" x14ac:dyDescent="0.15">
      <c r="A108" s="17">
        <f>Feuil1!L32</f>
        <v>8.4132575569535573E-2</v>
      </c>
      <c r="B108" s="17">
        <f>Feuil1!L20</f>
        <v>0.88303650839629488</v>
      </c>
      <c r="C108" s="17">
        <v>0.33333333333333331</v>
      </c>
      <c r="D108" s="17">
        <f>Feuil1!$P8</f>
        <v>-1.1939999999999999E-2</v>
      </c>
      <c r="E108" s="17">
        <f>Feuil1!$O8</f>
        <v>1.065E-2</v>
      </c>
      <c r="F108" s="17">
        <f>Feuil1!$L$25</f>
        <v>1</v>
      </c>
    </row>
    <row r="109" spans="1:6" x14ac:dyDescent="0.15">
      <c r="A109" s="17">
        <f>Feuil1!L33</f>
        <v>0.10433818860445743</v>
      </c>
      <c r="B109" s="17">
        <f>Feuil1!L21</f>
        <v>0.85942681986700553</v>
      </c>
      <c r="C109" s="17">
        <v>0.5</v>
      </c>
      <c r="D109" s="17">
        <f>Feuil1!$P9</f>
        <v>-1.2200000000000001E-2</v>
      </c>
      <c r="E109" s="17">
        <f>Feuil1!$O9</f>
        <v>1.116E-2</v>
      </c>
      <c r="F109" s="17">
        <f>Feuil1!$L$25</f>
        <v>1</v>
      </c>
    </row>
    <row r="110" spans="1:6" x14ac:dyDescent="0.15">
      <c r="A110" s="17">
        <f>Feuil1!L34</f>
        <v>0.12741259012763528</v>
      </c>
      <c r="B110" s="17">
        <f>Feuil1!L22</f>
        <v>0.83112914306682717</v>
      </c>
      <c r="C110" s="17">
        <v>0.75</v>
      </c>
      <c r="D110" s="17">
        <f>Feuil1!$P10</f>
        <v>-1.242E-2</v>
      </c>
      <c r="E110" s="17">
        <f>Feuil1!$O10</f>
        <v>1.166E-2</v>
      </c>
      <c r="F110" s="17">
        <f>Feuil1!$L$25</f>
        <v>1</v>
      </c>
    </row>
    <row r="111" spans="1:6" x14ac:dyDescent="0.15">
      <c r="A111" s="17">
        <f>Feuil1!L35</f>
        <v>0.15159369298671477</v>
      </c>
      <c r="B111" s="17">
        <f>Feuil1!L23</f>
        <v>0.80202614757932023</v>
      </c>
      <c r="C111" s="17">
        <v>1</v>
      </c>
      <c r="D111" s="17">
        <f>Feuil1!$P11</f>
        <v>-1.2370000000000001E-2</v>
      </c>
      <c r="E111" s="17">
        <f>Feuil1!$O11</f>
        <v>1.197E-2</v>
      </c>
      <c r="F111" s="17">
        <f>Feuil1!$L$25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2017-06-02T16:36:36Z</dcterms:modified>
</cp:coreProperties>
</file>